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veenk\Desktop\MTN\Analysis\Garry_MTN\"/>
    </mc:Choice>
  </mc:AlternateContent>
  <xr:revisionPtr revIDLastSave="0" documentId="13_ncr:1_{77255204-D17C-4C32-870D-2F687CA520CD}" xr6:coauthVersionLast="45" xr6:coauthVersionMax="46" xr10:uidLastSave="{00000000-0000-0000-0000-000000000000}"/>
  <bookViews>
    <workbookView xWindow="-110" yWindow="-110" windowWidth="19420" windowHeight="10420" firstSheet="1" activeTab="9" xr2:uid="{8CF873EF-186F-4A9F-8BE0-79FE41A0F236}"/>
  </bookViews>
  <sheets>
    <sheet name="Feb_0_activation_date" sheetId="1" r:id="rId1"/>
    <sheet name="Funnel" sheetId="2" r:id="rId2"/>
    <sheet name="NEW" sheetId="20" r:id="rId3"/>
    <sheet name="February" sheetId="3" r:id="rId4"/>
    <sheet name="March" sheetId="4" r:id="rId5"/>
    <sheet name="April" sheetId="5" r:id="rId6"/>
    <sheet name="Compiled" sheetId="6" r:id="rId7"/>
    <sheet name="pivot" sheetId="7" r:id="rId8"/>
    <sheet name="Static_Base" sheetId="8" r:id="rId9"/>
    <sheet name="Segments" sheetId="12" r:id="rId10"/>
    <sheet name="Segments (2)" sheetId="19" r:id="rId11"/>
    <sheet name="ARPU_Segments" sheetId="10" r:id="rId12"/>
    <sheet name="Value_Loss" sheetId="13" r:id="rId13"/>
    <sheet name="Sheet8" sheetId="23" r:id="rId14"/>
    <sheet name="Value_Loss_Med" sheetId="17" r:id="rId15"/>
    <sheet name="Sheet6" sheetId="21" r:id="rId16"/>
    <sheet name="Sheet2" sheetId="15" r:id="rId17"/>
    <sheet name="February_Compare" sheetId="16" r:id="rId18"/>
    <sheet name="Value_Loss (2)" sheetId="18" r:id="rId19"/>
  </sheets>
  <definedNames>
    <definedName name="_xlnm._FilterDatabase" localSheetId="6" hidden="1">Compiled!$A$1:$W$217</definedName>
  </definedNames>
  <calcPr calcId="191029"/>
  <pivotCaches>
    <pivotCache cacheId="2" r:id="rId20"/>
    <pivotCache cacheId="11" r:id="rId21"/>
    <pivotCache cacheId="4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23" l="1"/>
  <c r="G6" i="23"/>
  <c r="G5" i="23"/>
  <c r="G3" i="23"/>
  <c r="F6" i="23"/>
  <c r="F7" i="23"/>
  <c r="F5" i="23"/>
  <c r="F3" i="23"/>
  <c r="D6" i="23"/>
  <c r="D7" i="23"/>
  <c r="D5" i="23"/>
  <c r="D3" i="23"/>
  <c r="I20" i="13"/>
  <c r="P19" i="13"/>
  <c r="J20" i="13"/>
  <c r="J19" i="13"/>
  <c r="F24" i="17"/>
  <c r="D2" i="21" l="1"/>
  <c r="D3" i="21"/>
  <c r="D4" i="21"/>
  <c r="D5" i="21"/>
  <c r="D6" i="21"/>
  <c r="D7" i="21"/>
  <c r="D8" i="21"/>
  <c r="D9" i="21"/>
  <c r="D10" i="21"/>
  <c r="D11" i="21"/>
  <c r="D12" i="21"/>
  <c r="I17" i="17"/>
  <c r="J13" i="13"/>
  <c r="K13" i="13"/>
  <c r="L13" i="13"/>
  <c r="I13" i="13"/>
  <c r="J17" i="17"/>
  <c r="V9" i="18"/>
  <c r="V10" i="18" s="1"/>
  <c r="V11" i="18" s="1"/>
  <c r="V12" i="18" s="1"/>
  <c r="V13" i="18" s="1"/>
  <c r="V14" i="18" s="1"/>
  <c r="V15" i="18" s="1"/>
  <c r="V16" i="18" s="1"/>
  <c r="V17" i="18" s="1"/>
  <c r="V18" i="18" s="1"/>
  <c r="V8" i="18"/>
  <c r="V7" i="18"/>
  <c r="I12" i="17"/>
  <c r="I13" i="17"/>
  <c r="I14" i="17"/>
  <c r="I15" i="17"/>
  <c r="I18" i="17"/>
  <c r="K4" i="19" l="1"/>
  <c r="F23" i="19"/>
  <c r="I30" i="17"/>
  <c r="I33" i="17"/>
  <c r="I32" i="17"/>
  <c r="I31" i="17"/>
  <c r="R7" i="18"/>
  <c r="S7" i="18" s="1"/>
  <c r="R8" i="18"/>
  <c r="S8" i="18" s="1"/>
  <c r="R9" i="18"/>
  <c r="S9" i="18" s="1"/>
  <c r="R10" i="18"/>
  <c r="S10" i="18" s="1"/>
  <c r="R11" i="18"/>
  <c r="S11" i="18" s="1"/>
  <c r="R12" i="18"/>
  <c r="S12" i="18" s="1"/>
  <c r="R13" i="18"/>
  <c r="S13" i="18" s="1"/>
  <c r="R14" i="18"/>
  <c r="S14" i="18" s="1"/>
  <c r="R15" i="18"/>
  <c r="S15" i="18" s="1"/>
  <c r="R16" i="18"/>
  <c r="S16" i="18" s="1"/>
  <c r="R17" i="18"/>
  <c r="S17" i="18" s="1"/>
  <c r="R18" i="18"/>
  <c r="S18" i="18" s="1"/>
  <c r="R19" i="18"/>
  <c r="S19" i="18" s="1"/>
  <c r="R20" i="18"/>
  <c r="S20" i="18" s="1"/>
  <c r="R21" i="18"/>
  <c r="S21" i="18" s="1"/>
  <c r="R22" i="18"/>
  <c r="S22" i="18" s="1"/>
  <c r="R6" i="18"/>
  <c r="S6" i="18" s="1"/>
  <c r="L3" i="18"/>
  <c r="K3" i="18"/>
  <c r="J3" i="18"/>
  <c r="I3" i="18"/>
  <c r="H3" i="18"/>
  <c r="I19" i="13"/>
  <c r="I34" i="17" l="1"/>
  <c r="P20" i="13" l="1"/>
  <c r="P18" i="13"/>
  <c r="P16" i="17"/>
  <c r="I22" i="17"/>
  <c r="K20" i="17"/>
  <c r="I20" i="17"/>
  <c r="K19" i="17"/>
  <c r="I19" i="17"/>
  <c r="K18" i="17"/>
  <c r="K17" i="17"/>
  <c r="L3" i="17"/>
  <c r="K3" i="17"/>
  <c r="J3" i="17"/>
  <c r="I3" i="17"/>
  <c r="H3" i="17"/>
  <c r="I21" i="17" l="1"/>
  <c r="I24" i="17" s="1"/>
  <c r="P17" i="17"/>
  <c r="P18" i="17" s="1"/>
  <c r="J18" i="17"/>
  <c r="J19" i="17"/>
  <c r="J20" i="17"/>
  <c r="N4" i="8" l="1"/>
  <c r="O4" i="8"/>
  <c r="N5" i="8"/>
  <c r="O5" i="8"/>
  <c r="N6" i="8"/>
  <c r="O6" i="8"/>
  <c r="N10" i="8"/>
  <c r="O10" i="8"/>
  <c r="N11" i="8"/>
  <c r="O11" i="8"/>
  <c r="N12" i="8"/>
  <c r="O12" i="8"/>
  <c r="N16" i="8"/>
  <c r="O16" i="8"/>
  <c r="N17" i="8"/>
  <c r="O17" i="8"/>
  <c r="N18" i="8"/>
  <c r="O18" i="8"/>
  <c r="N24" i="8"/>
  <c r="O24" i="8"/>
  <c r="N30" i="8"/>
  <c r="O30" i="8"/>
  <c r="N35" i="8"/>
  <c r="O35" i="8"/>
  <c r="E46" i="8" l="1"/>
  <c r="F46" i="8"/>
  <c r="G46" i="8"/>
  <c r="D46" i="8"/>
  <c r="D43" i="8"/>
  <c r="G43" i="8"/>
  <c r="F43" i="8"/>
  <c r="E43" i="8"/>
  <c r="H43" i="8"/>
  <c r="H42" i="8"/>
  <c r="E42" i="8"/>
  <c r="F42" i="8"/>
  <c r="G42" i="8"/>
  <c r="D42" i="8"/>
  <c r="D39" i="8"/>
  <c r="E39" i="8"/>
  <c r="F39" i="8"/>
  <c r="G39" i="8"/>
  <c r="C39" i="8"/>
  <c r="D38" i="8"/>
  <c r="E38" i="8"/>
  <c r="F38" i="8"/>
  <c r="G38" i="8"/>
  <c r="C38" i="8"/>
  <c r="I3" i="13" l="1"/>
  <c r="J3" i="13"/>
  <c r="K3" i="13"/>
  <c r="L3" i="13"/>
  <c r="H3" i="13"/>
  <c r="O16" i="12" l="1"/>
  <c r="N16" i="12"/>
  <c r="O13" i="12"/>
  <c r="N13" i="12"/>
  <c r="O9" i="12"/>
  <c r="N9" i="12"/>
  <c r="O6" i="12"/>
  <c r="N6" i="12"/>
  <c r="P16" i="12"/>
  <c r="Q16" i="12"/>
  <c r="R16" i="12"/>
  <c r="P13" i="12"/>
  <c r="Q13" i="12"/>
  <c r="R13" i="12"/>
  <c r="P9" i="12"/>
  <c r="Q9" i="12"/>
  <c r="R9" i="12"/>
  <c r="P6" i="12"/>
  <c r="Q6" i="12"/>
  <c r="R6" i="12"/>
  <c r="R17" i="12" l="1"/>
  <c r="N17" i="12"/>
  <c r="O17" i="12"/>
  <c r="Q17" i="12"/>
  <c r="P17" i="12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2" i="16"/>
  <c r="J23" i="12" l="1"/>
  <c r="C25" i="8" l="1"/>
  <c r="P7" i="10" l="1"/>
  <c r="B3" i="2" l="1"/>
  <c r="C3" i="2"/>
  <c r="D3" i="2"/>
  <c r="A3" i="2"/>
  <c r="K27" i="13"/>
  <c r="K29" i="13"/>
  <c r="K26" i="13"/>
  <c r="K28" i="13"/>
  <c r="K22" i="13"/>
  <c r="I22" i="13"/>
  <c r="K21" i="13"/>
  <c r="I21" i="13"/>
  <c r="K20" i="13"/>
  <c r="K19" i="13"/>
  <c r="J21" i="13" l="1"/>
  <c r="J22" i="13"/>
  <c r="P25" i="13"/>
  <c r="I27" i="13"/>
  <c r="J27" i="13" s="1"/>
  <c r="I29" i="13"/>
  <c r="J29" i="13" s="1"/>
  <c r="I28" i="13"/>
  <c r="J28" i="13" s="1"/>
  <c r="I26" i="13"/>
  <c r="P26" i="13" l="1"/>
  <c r="P27" i="13" s="1"/>
  <c r="J26" i="13"/>
  <c r="H33" i="8"/>
  <c r="N6" i="10"/>
  <c r="N7" i="10"/>
  <c r="O7" i="10"/>
  <c r="Q7" i="10"/>
  <c r="R7" i="10"/>
  <c r="N8" i="10"/>
  <c r="O8" i="10"/>
  <c r="P8" i="10"/>
  <c r="Q8" i="10"/>
  <c r="R8" i="10"/>
  <c r="N9" i="10"/>
  <c r="O9" i="10"/>
  <c r="P9" i="10"/>
  <c r="Q9" i="10"/>
  <c r="R9" i="10"/>
  <c r="O6" i="10"/>
  <c r="P6" i="10"/>
  <c r="Q6" i="10"/>
  <c r="R6" i="10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" i="6"/>
  <c r="AA5" i="8" l="1"/>
  <c r="AA7" i="8"/>
  <c r="T16" i="8"/>
  <c r="V11" i="8"/>
  <c r="T12" i="8"/>
  <c r="P17" i="8"/>
  <c r="Q17" i="8"/>
  <c r="R17" i="8"/>
  <c r="S17" i="8"/>
  <c r="T17" i="8"/>
  <c r="U17" i="8"/>
  <c r="V17" i="8"/>
  <c r="W17" i="8"/>
  <c r="X17" i="8"/>
  <c r="P18" i="8"/>
  <c r="Q18" i="8"/>
  <c r="R18" i="8"/>
  <c r="S18" i="8"/>
  <c r="T18" i="8"/>
  <c r="U18" i="8"/>
  <c r="V18" i="8"/>
  <c r="W18" i="8"/>
  <c r="X18" i="8"/>
  <c r="P16" i="8"/>
  <c r="Q16" i="8"/>
  <c r="R16" i="8"/>
  <c r="S16" i="8"/>
  <c r="U16" i="8"/>
  <c r="V16" i="8"/>
  <c r="W16" i="8"/>
  <c r="X16" i="8"/>
  <c r="X12" i="8"/>
  <c r="W12" i="8"/>
  <c r="V12" i="8"/>
  <c r="U12" i="8"/>
  <c r="S12" i="8"/>
  <c r="R12" i="8"/>
  <c r="Q12" i="8"/>
  <c r="P12" i="8"/>
  <c r="X11" i="8"/>
  <c r="W11" i="8"/>
  <c r="U11" i="8"/>
  <c r="T11" i="8"/>
  <c r="S11" i="8"/>
  <c r="R11" i="8"/>
  <c r="Q11" i="8"/>
  <c r="P11" i="8"/>
  <c r="X10" i="8"/>
  <c r="W10" i="8"/>
  <c r="V10" i="8"/>
  <c r="U10" i="8"/>
  <c r="T10" i="8"/>
  <c r="S10" i="8"/>
  <c r="R10" i="8"/>
  <c r="Q10" i="8"/>
  <c r="P10" i="8"/>
  <c r="J34" i="8"/>
  <c r="L35" i="8"/>
  <c r="K35" i="8"/>
  <c r="J35" i="8"/>
  <c r="I35" i="8"/>
  <c r="H35" i="8"/>
  <c r="L34" i="8"/>
  <c r="K34" i="8"/>
  <c r="I34" i="8"/>
  <c r="H34" i="8"/>
  <c r="L33" i="8"/>
  <c r="K33" i="8"/>
  <c r="J33" i="8"/>
  <c r="I33" i="8"/>
  <c r="I29" i="8"/>
  <c r="H29" i="8"/>
  <c r="H28" i="8"/>
  <c r="L30" i="8"/>
  <c r="K30" i="8"/>
  <c r="J30" i="8"/>
  <c r="I30" i="8"/>
  <c r="H30" i="8"/>
  <c r="L29" i="8"/>
  <c r="K29" i="8"/>
  <c r="J29" i="8"/>
  <c r="L28" i="8"/>
  <c r="K28" i="8"/>
  <c r="J28" i="8"/>
  <c r="I28" i="8"/>
  <c r="H23" i="8"/>
  <c r="I23" i="8"/>
  <c r="J23" i="8"/>
  <c r="K23" i="8"/>
  <c r="L23" i="8"/>
  <c r="H24" i="8"/>
  <c r="T6" i="8" s="1"/>
  <c r="I24" i="8"/>
  <c r="U6" i="8" s="1"/>
  <c r="J24" i="8"/>
  <c r="K24" i="8"/>
  <c r="L24" i="8"/>
  <c r="I22" i="8"/>
  <c r="U4" i="8" s="1"/>
  <c r="J22" i="8"/>
  <c r="V4" i="8" s="1"/>
  <c r="K22" i="8"/>
  <c r="L22" i="8"/>
  <c r="X4" i="8" s="1"/>
  <c r="H22" i="8"/>
  <c r="T4" i="8" s="1"/>
  <c r="V6" i="8"/>
  <c r="V5" i="8"/>
  <c r="T5" i="8"/>
  <c r="U5" i="8"/>
  <c r="W5" i="8"/>
  <c r="X5" i="8"/>
  <c r="W6" i="8"/>
  <c r="X6" i="8"/>
  <c r="W4" i="8"/>
  <c r="AD8" i="8"/>
  <c r="AE8" i="8" s="1"/>
  <c r="Z8" i="8"/>
  <c r="AA8" i="8" s="1"/>
  <c r="AD7" i="8"/>
  <c r="AE7" i="8" s="1"/>
  <c r="Z7" i="8"/>
  <c r="AD6" i="8"/>
  <c r="AE6" i="8" s="1"/>
  <c r="Z6" i="8"/>
  <c r="AA6" i="8" s="1"/>
  <c r="AD5" i="8"/>
  <c r="AE5" i="8" s="1"/>
  <c r="Z5" i="8"/>
  <c r="AD4" i="8"/>
  <c r="AE4" i="8" s="1"/>
  <c r="Z4" i="8"/>
  <c r="AA4" i="8" s="1"/>
  <c r="AF3" i="8"/>
  <c r="AB3" i="8"/>
  <c r="P5" i="8" l="1"/>
  <c r="Q5" i="8"/>
  <c r="R5" i="8"/>
  <c r="S5" i="8"/>
  <c r="P6" i="8"/>
  <c r="Q6" i="8"/>
  <c r="R6" i="8"/>
  <c r="S6" i="8"/>
  <c r="P4" i="8"/>
  <c r="Q4" i="8"/>
  <c r="R4" i="8"/>
  <c r="S4" i="8"/>
</calcChain>
</file>

<file path=xl/sharedStrings.xml><?xml version="1.0" encoding="utf-8"?>
<sst xmlns="http://schemas.openxmlformats.org/spreadsheetml/2006/main" count="5130" uniqueCount="2471">
  <si>
    <t>OVERALL_BASE</t>
  </si>
  <si>
    <t>CONSUMER_BASE</t>
  </si>
  <si>
    <t>PREPAID_CONSUMER_BASE</t>
  </si>
  <si>
    <t>PREPAID_ACTIVE_CONSUMER_BASE</t>
  </si>
  <si>
    <t>41,512,699</t>
  </si>
  <si>
    <t>35,301,753</t>
  </si>
  <si>
    <t>33,270,868</t>
  </si>
  <si>
    <t>24,998,823</t>
  </si>
  <si>
    <t xml:space="preserve">
----------Funnel---------
--OVERALL_BASE_FEB1st
 select
	COUNT(MSISDN_KEY) as OVERALL_BASE
from
	bsl.customersubject
where
	tbl_dt = 20210201
	and aggr = 'daily'
--CONSUMER_OVERALL_BASE_FEB1st
 select
	COUNT(MSISDN_KEY) as CONSUMER_BASE
from
	bsl.customersubject
where
	tbl_dt = 20210201
	and aggr = 'daily'
	--AND subscriber_type=1
	and customer_type = 'CONSUMER'
--PREPAID_CONSUMER_BASE_FEB1st
 select
	COUNT(MSISDN_KEY) as PREPAID_CONSUMER_BASE
from
	bsl.customersubject
where
	tbl_dt = 20210201
	and aggr = 'daily'
	and subscriber_type = 1
	and customer_type = 'CONSUMER'
--PREPAID_ACTIVE_CONSUMER_BASE_FEB1st
 select
	COUNT(MSISDN_KEY) as PREPAID_ACTIVE_CONSUMER_BASE
from
	bsl.customersubject
where
	tbl_dt = 20210201
	and aggr = 'daily'
	and subscriber_type = 1
	and customer_type = 'CONSUMER'
	and status = 'active'
	and length(cast(activation_date as VARCHAR)) = 8</t>
  </si>
  <si>
    <t>DATE</t>
  </si>
  <si>
    <t>BASE_CNT</t>
  </si>
  <si>
    <t>SEG_CNT</t>
  </si>
  <si>
    <t>AON_SLAB</t>
  </si>
  <si>
    <t>ARPU_SLAB_IND</t>
  </si>
  <si>
    <t>AVGL3MREV</t>
  </si>
  <si>
    <t>L1MR</t>
  </si>
  <si>
    <t>L2MR</t>
  </si>
  <si>
    <t>L3MR</t>
  </si>
  <si>
    <t>L1MR_ARPU</t>
  </si>
  <si>
    <t>L2MR_ARPU</t>
  </si>
  <si>
    <t>L3MR_ARPU</t>
  </si>
  <si>
    <t>Voice_Revenue</t>
  </si>
  <si>
    <t>Data_revenue</t>
  </si>
  <si>
    <t>OG_MOU</t>
  </si>
  <si>
    <t>IC_MOU</t>
  </si>
  <si>
    <t>TOTAL_DATA_USAGE_MB</t>
  </si>
  <si>
    <t>CNT_DOLA_7INC</t>
  </si>
  <si>
    <t>CNT_DOLA_15INC</t>
  </si>
  <si>
    <t>CNT_DOLA_30INC</t>
  </si>
  <si>
    <t>CNT_DOLA_60INC</t>
  </si>
  <si>
    <t>CNT_DOLA_90INC</t>
  </si>
  <si>
    <t>0 - 3 months</t>
  </si>
  <si>
    <t>0 - 10 ARPU</t>
  </si>
  <si>
    <t>10 - 25 ARPU</t>
  </si>
  <si>
    <t>100 - 125 ARPU</t>
  </si>
  <si>
    <t>125 - 150 ARPU</t>
  </si>
  <si>
    <t>150 - 200 ARPU</t>
  </si>
  <si>
    <t>200 - 300 ARPU</t>
  </si>
  <si>
    <t>25 - 50 ARPU</t>
  </si>
  <si>
    <t>300 - 500 ARPU</t>
  </si>
  <si>
    <t>50 - 75 ARPU</t>
  </si>
  <si>
    <t>75 - 100 ARPU</t>
  </si>
  <si>
    <t>GT 500</t>
  </si>
  <si>
    <t>Zero or LT Zero ARPU</t>
  </si>
  <si>
    <t>12 - 24 months</t>
  </si>
  <si>
    <t>3 - 6 months</t>
  </si>
  <si>
    <t>6 - 9 months</t>
  </si>
  <si>
    <t>9 - 12 months</t>
  </si>
  <si>
    <t>GT 24 months</t>
  </si>
  <si>
    <t>msisdn_key</t>
  </si>
  <si>
    <t>activation_date</t>
  </si>
  <si>
    <t>sorb_activation_date</t>
  </si>
  <si>
    <t>27,710,885,476</t>
  </si>
  <si>
    <t>27,710,891,126</t>
  </si>
  <si>
    <t>27,634,748,433</t>
  </si>
  <si>
    <t>27,783,378,678</t>
  </si>
  <si>
    <t>27,782,073,284</t>
  </si>
  <si>
    <t>27,784,848,308</t>
  </si>
  <si>
    <t>27,735,330,272</t>
  </si>
  <si>
    <t>27,781,910,315</t>
  </si>
  <si>
    <t>27,719,032,309</t>
  </si>
  <si>
    <t>27,734,346,335</t>
  </si>
  <si>
    <t>27,737,880,672</t>
  </si>
  <si>
    <t>27,782,201,117</t>
  </si>
  <si>
    <t>27,635,492,490</t>
  </si>
  <si>
    <t>27,788,652,573</t>
  </si>
  <si>
    <t>27,780,679,403</t>
  </si>
  <si>
    <t>27,718,104,033</t>
  </si>
  <si>
    <t>27,789,289,085</t>
  </si>
  <si>
    <t>27,783,805,183</t>
  </si>
  <si>
    <t>27,737,292,969</t>
  </si>
  <si>
    <t>27,735,556,827</t>
  </si>
  <si>
    <t>27,735,718,802</t>
  </si>
  <si>
    <t>27,786,923,091</t>
  </si>
  <si>
    <t>27,781,011,996</t>
  </si>
  <si>
    <t>27,839,498,366</t>
  </si>
  <si>
    <t>27,719,892,486</t>
  </si>
  <si>
    <t>27,780,205,034</t>
  </si>
  <si>
    <t>27,730,335,873</t>
  </si>
  <si>
    <t>27,731,915,023</t>
  </si>
  <si>
    <t>27,710,216,472</t>
  </si>
  <si>
    <t>27,787,258,563</t>
  </si>
  <si>
    <t>27,781,792,201</t>
  </si>
  <si>
    <t>27,787,650,883</t>
  </si>
  <si>
    <t>27,731,095,710</t>
  </si>
  <si>
    <t>27,730,257,518</t>
  </si>
  <si>
    <t>27,717,148,648</t>
  </si>
  <si>
    <t>27,785,835,242</t>
  </si>
  <si>
    <t>27,635,950,714</t>
  </si>
  <si>
    <t>27,632,296,812</t>
  </si>
  <si>
    <t>27,639,514,615</t>
  </si>
  <si>
    <t>27,781,639,872</t>
  </si>
  <si>
    <t>27,718,079,598</t>
  </si>
  <si>
    <t>27,788,744,041</t>
  </si>
  <si>
    <t>27,737,238,784</t>
  </si>
  <si>
    <t>27,733,144,936</t>
  </si>
  <si>
    <t>27,657,305,622</t>
  </si>
  <si>
    <t>27,719,291,154</t>
  </si>
  <si>
    <t>27,657,359,363</t>
  </si>
  <si>
    <t>27,781,409,622</t>
  </si>
  <si>
    <t>27,789,496,563</t>
  </si>
  <si>
    <t>27,783,746,181</t>
  </si>
  <si>
    <t>27,785,008,438</t>
  </si>
  <si>
    <t>27,782,968,563</t>
  </si>
  <si>
    <t>27,710,737,430</t>
  </si>
  <si>
    <t>27,604,684,902</t>
  </si>
  <si>
    <t>27,717,469,926</t>
  </si>
  <si>
    <t>27,739,097,980</t>
  </si>
  <si>
    <t>27,782,208,570</t>
  </si>
  <si>
    <t>27,656,850,315</t>
  </si>
  <si>
    <t>27,719,654,941</t>
  </si>
  <si>
    <t>27,784,387,290</t>
  </si>
  <si>
    <t>27,718,419,047</t>
  </si>
  <si>
    <t>27,788,510,243</t>
  </si>
  <si>
    <t>27,710,266,103</t>
  </si>
  <si>
    <t>27,635,529,527</t>
  </si>
  <si>
    <t>27,789,625,804</t>
  </si>
  <si>
    <t>27,789,209,665</t>
  </si>
  <si>
    <t>27,787,332,593</t>
  </si>
  <si>
    <t>27,655,220,748</t>
  </si>
  <si>
    <t>27,786,678,976</t>
  </si>
  <si>
    <t>27,734,894,572</t>
  </si>
  <si>
    <t>27,719,877,154</t>
  </si>
  <si>
    <t>27,730,844,955</t>
  </si>
  <si>
    <t>27,657,108,484</t>
  </si>
  <si>
    <t>27,788,267,190</t>
  </si>
  <si>
    <t>27,783,818,326</t>
  </si>
  <si>
    <t>27,731,508,278</t>
  </si>
  <si>
    <t>27,782,477,120</t>
  </si>
  <si>
    <t>27,738,022,419</t>
  </si>
  <si>
    <t>27,732,822,597</t>
  </si>
  <si>
    <t>27,719,804,785</t>
  </si>
  <si>
    <t>27,638,954,753</t>
  </si>
  <si>
    <t>27,784,304,029</t>
  </si>
  <si>
    <t>27,789,521,319</t>
  </si>
  <si>
    <t>27,787,298,937</t>
  </si>
  <si>
    <t>27,657,010,512</t>
  </si>
  <si>
    <t>27,788,462,923</t>
  </si>
  <si>
    <t>27,632,332,945</t>
  </si>
  <si>
    <t>27,782,995,811</t>
  </si>
  <si>
    <t>27,785,110,689</t>
  </si>
  <si>
    <t>27,782,625,732</t>
  </si>
  <si>
    <t>27,784,010,827</t>
  </si>
  <si>
    <t>27,783,823,039</t>
  </si>
  <si>
    <t>27,785,680,811</t>
  </si>
  <si>
    <t>27,719,606,387</t>
  </si>
  <si>
    <t>27,717,664,731</t>
  </si>
  <si>
    <t>27,782,664,756</t>
  </si>
  <si>
    <t>27,835,920,950</t>
  </si>
  <si>
    <t>27,634,242,664</t>
  </si>
  <si>
    <t>27,656,511,015</t>
  </si>
  <si>
    <t>27,780,677,727</t>
  </si>
  <si>
    <t>27,780,019,016</t>
  </si>
  <si>
    <t>27,788,348,349</t>
  </si>
  <si>
    <t>27,635,153,638</t>
  </si>
  <si>
    <t>27,633,473,886</t>
  </si>
  <si>
    <t>27,719,305,190</t>
  </si>
  <si>
    <t>27,789,908,011</t>
  </si>
  <si>
    <t>27,733,894,286</t>
  </si>
  <si>
    <t>27,738,654,861</t>
  </si>
  <si>
    <t>27,781,220,349</t>
  </si>
  <si>
    <t>27,788,331,884</t>
  </si>
  <si>
    <t>27,635,205,623</t>
  </si>
  <si>
    <t>27,784,259,075</t>
  </si>
  <si>
    <t>27,603,903,830</t>
  </si>
  <si>
    <t>27,657,287,868</t>
  </si>
  <si>
    <t>27,738,166,211</t>
  </si>
  <si>
    <t>27,710,759,643</t>
  </si>
  <si>
    <t>27,719,216,828</t>
  </si>
  <si>
    <t>27,789,552,918</t>
  </si>
  <si>
    <t>27,783,579,388</t>
  </si>
  <si>
    <t>27,733,072,106</t>
  </si>
  <si>
    <t>27,789,766,430</t>
  </si>
  <si>
    <t>27,732,862,559</t>
  </si>
  <si>
    <t>27,784,688,267</t>
  </si>
  <si>
    <t>27,781,189,897</t>
  </si>
  <si>
    <t>27,788,384,581</t>
  </si>
  <si>
    <t>27,731,081,591</t>
  </si>
  <si>
    <t>27,719,065,230</t>
  </si>
  <si>
    <t>27,788,611,448</t>
  </si>
  <si>
    <t>27,718,013,451</t>
  </si>
  <si>
    <t>27,657,449,842</t>
  </si>
  <si>
    <t>27,630,865,253</t>
  </si>
  <si>
    <t>27,717,057,783</t>
  </si>
  <si>
    <t>27,657,311,168</t>
  </si>
  <si>
    <t>27,786,921,744</t>
  </si>
  <si>
    <t>27,603,914,711</t>
  </si>
  <si>
    <t>27,785,897,523</t>
  </si>
  <si>
    <t>27,781,833,825</t>
  </si>
  <si>
    <t>27,780,871,091</t>
  </si>
  <si>
    <t>select
	msisdn_key, activation_date, sorb_activation_date 
from
	bsl.customersubject
where
	aggr = 'monthly'
	and status in ('active')
	and payment_option = 'PREPAID'
	and tbl_dt = 20210228
	and length(cast(activation_date as VARCHAR))&lt;&gt; 8</t>
  </si>
  <si>
    <t>select
	tbl_dt,
	COUNT(MSISDN)
from
	bsl.customersubject
where
	aggr = 'monthly'
	and status in ('active')
	--and payment_option = 'PREPAID'
	AND subscriber_type=1
	AND customer_type = 'CONSUMER'
	and tbl_dt = 20210228
	and length(cast(activation_date as VARCHAR))&lt;&gt; 8
group by
	tbl_dt</t>
  </si>
  <si>
    <t>7722060.575461756</t>
  </si>
  <si>
    <t>13288873.143876359</t>
  </si>
  <si>
    <t>6501996.014662305</t>
  </si>
  <si>
    <t>3375312.5678735697</t>
  </si>
  <si>
    <t>4.02021992494238</t>
  </si>
  <si>
    <t>1.9670180945392388</t>
  </si>
  <si>
    <t>1.0211173431606357</t>
  </si>
  <si>
    <t>7029842.739994286</t>
  </si>
  <si>
    <t>3357101.6000009123</t>
  </si>
  <si>
    <t>1024369032.5074024</t>
  </si>
  <si>
    <t>17434475.825869404</t>
  </si>
  <si>
    <t>29233559.42906058</t>
  </si>
  <si>
    <t>15194447.564633075</t>
  </si>
  <si>
    <t>7875420.483930377</t>
  </si>
  <si>
    <t>24.695887641952872</t>
  </si>
  <si>
    <t>12.835945302805067</t>
  </si>
  <si>
    <t>6.652987292780333</t>
  </si>
  <si>
    <t>12017721.530002583</t>
  </si>
  <si>
    <t>8628754.230900299</t>
  </si>
  <si>
    <t>680126355.4481382</t>
  </si>
  <si>
    <t>7197556.786477435</t>
  </si>
  <si>
    <t>11626685.024083447</t>
  </si>
  <si>
    <t>7296940.236191129</t>
  </si>
  <si>
    <t>2669045.099157883</t>
  </si>
  <si>
    <t>179.95178802172182</t>
  </si>
  <si>
    <t>112.93824850938135</t>
  </si>
  <si>
    <t>41.31009285184775</t>
  </si>
  <si>
    <t>4573523.65999996</t>
  </si>
  <si>
    <t>4066469.850000022</t>
  </si>
  <si>
    <t>197036602.45180893</t>
  </si>
  <si>
    <t>5570106.507248575</t>
  </si>
  <si>
    <t>8886996.922199637</t>
  </si>
  <si>
    <t>5704191.189532798</t>
  </si>
  <si>
    <t>2119131.410013368</t>
  </si>
  <si>
    <t>217.9414111435279</t>
  </si>
  <si>
    <t>139.88746571677166</t>
  </si>
  <si>
    <t>51.96879147591456</t>
  </si>
  <si>
    <t>3421065.549999983</t>
  </si>
  <si>
    <t>3235683.4500000062</t>
  </si>
  <si>
    <t>147590106.979043</t>
  </si>
  <si>
    <t>7729045.240010807</t>
  </si>
  <si>
    <t>12197508.441815477</t>
  </si>
  <si>
    <t>8020110.944868887</t>
  </si>
  <si>
    <t>2969516.3333480866</t>
  </si>
  <si>
    <t>270.989501273366</t>
  </si>
  <si>
    <t>178.18113227586338</t>
  </si>
  <si>
    <t>65.97312508826924</t>
  </si>
  <si>
    <t>4550425.489999975</t>
  </si>
  <si>
    <t>4656805.730000006</t>
  </si>
  <si>
    <t>203477860.18056297</t>
  </si>
  <si>
    <t>8433758.434176952</t>
  </si>
  <si>
    <t>13039557.389473453</t>
  </si>
  <si>
    <t>8867437.991783824</t>
  </si>
  <si>
    <t>3394279.921273674</t>
  </si>
  <si>
    <t>371.9954751226272</t>
  </si>
  <si>
    <t>252.97229885555655</t>
  </si>
  <si>
    <t>96.83279380577052</t>
  </si>
  <si>
    <t>4832081.209999981</t>
  </si>
  <si>
    <t>5290285.910900011</t>
  </si>
  <si>
    <t>205356855.01181412</t>
  </si>
  <si>
    <t>19228946.653816707</t>
  </si>
  <si>
    <t>33903011.16800365</t>
  </si>
  <si>
    <t>17306437.094691053</t>
  </si>
  <si>
    <t>6477391.698758719</t>
  </si>
  <si>
    <t>62.39787381657694</t>
  </si>
  <si>
    <t>31.852181881360803</t>
  </si>
  <si>
    <t>11.92152130313235</t>
  </si>
  <si>
    <t>14696575.21000209</t>
  </si>
  <si>
    <t>10910009.291799681</t>
  </si>
  <si>
    <t>625877088.9541445</t>
  </si>
  <si>
    <t>6979374.354625089</t>
  </si>
  <si>
    <t>10486324.328720557</t>
  </si>
  <si>
    <t>7506629.527181095</t>
  </si>
  <si>
    <t>2945169.2079736646</t>
  </si>
  <si>
    <t>561.9379630631025</t>
  </si>
  <si>
    <t>402.26298307599245</t>
  </si>
  <si>
    <t>157.8248329657395</t>
  </si>
  <si>
    <t>3753827.0600000005</t>
  </si>
  <si>
    <t>4707854.460000003</t>
  </si>
  <si>
    <t>150898980.45719814</t>
  </si>
  <si>
    <t>13820003.23482102</t>
  </si>
  <si>
    <t>23473532.92598217</t>
  </si>
  <si>
    <t>13189992.250890959</t>
  </si>
  <si>
    <t>4796484.527590749</t>
  </si>
  <si>
    <t>103.50886296722861</t>
  </si>
  <si>
    <t>58.16257419542883</t>
  </si>
  <si>
    <t>21.15057248759028</t>
  </si>
  <si>
    <t>9645476.009999897</t>
  </si>
  <si>
    <t>7829878.391800098</t>
  </si>
  <si>
    <t>415580481.01681614</t>
  </si>
  <si>
    <t>9894306.525161508</t>
  </si>
  <si>
    <t>16286878.86858612</t>
  </si>
  <si>
    <t>9794714.913244018</t>
  </si>
  <si>
    <t>3601325.7936546723</t>
  </si>
  <si>
    <t>141.90514205070983</t>
  </si>
  <si>
    <t>85.33988754536361</t>
  </si>
  <si>
    <t>31.37781354198873</t>
  </si>
  <si>
    <t>6541965.709999873</t>
  </si>
  <si>
    <t>5614148.530000046</t>
  </si>
  <si>
    <t>275030474.1243839</t>
  </si>
  <si>
    <t>6387649.051058449</t>
  </si>
  <si>
    <t>9048940.138456617</t>
  </si>
  <si>
    <t>7042143.339148301</t>
  </si>
  <si>
    <t>3071863.675570448</t>
  </si>
  <si>
    <t>1132.9585749914381</t>
  </si>
  <si>
    <t>881.7006810001628</t>
  </si>
  <si>
    <t>384.60794736076724</t>
  </si>
  <si>
    <t>2846476.7799999993</t>
  </si>
  <si>
    <t>4715441.870000001</t>
  </si>
  <si>
    <t>122423838.77688217</t>
  </si>
  <si>
    <t>-125005.78189164707</t>
  </si>
  <si>
    <t>-182304.31944256497</t>
  </si>
  <si>
    <t>-102566.01360449768</t>
  </si>
  <si>
    <t>-90147.01262788152</t>
  </si>
  <si>
    <t>-1.596010675793959</t>
  </si>
  <si>
    <t>-0.8979296441628162</t>
  </si>
  <si>
    <t>-0.7892056259827666</t>
  </si>
  <si>
    <t>46717.53999999981</t>
  </si>
  <si>
    <t>10047.290000000005</t>
  </si>
  <si>
    <t>889549782.1098757</t>
  </si>
  <si>
    <t>3025596.6037946143</t>
  </si>
  <si>
    <t>2414604.730937314</t>
  </si>
  <si>
    <t>2586198.3325641323</t>
  </si>
  <si>
    <t>4075986.747883845</t>
  </si>
  <si>
    <t>2.341475760000964</t>
  </si>
  <si>
    <t>2.50787245989664</t>
  </si>
  <si>
    <t>3.9525409877543027</t>
  </si>
  <si>
    <t>907190.1700000179</t>
  </si>
  <si>
    <t>448347.1699999919</t>
  </si>
  <si>
    <t>501274878.24608326</t>
  </si>
  <si>
    <t>8828997.609266723</t>
  </si>
  <si>
    <t>7862243.452049524</t>
  </si>
  <si>
    <t>7995789.354118851</t>
  </si>
  <si>
    <t>10628960.021633284</t>
  </si>
  <si>
    <t>14.958919330597718</t>
  </si>
  <si>
    <t>15.213007414764865</t>
  </si>
  <si>
    <t>20.222949912637603</t>
  </si>
  <si>
    <t>3054607.629999809</t>
  </si>
  <si>
    <t>2101131.3009000807</t>
  </si>
  <si>
    <t>144050704.53174686</t>
  </si>
  <si>
    <t>16516154.930077175</t>
  </si>
  <si>
    <t>16396513.733200546</t>
  </si>
  <si>
    <t>16459566.15842525</t>
  </si>
  <si>
    <t>16692384.898605686</t>
  </si>
  <si>
    <t>110.96344691368421</t>
  </si>
  <si>
    <t>111.39015435607382</t>
  </si>
  <si>
    <t>112.96575575140044</t>
  </si>
  <si>
    <t>5127447.479999926</t>
  </si>
  <si>
    <t>6217551.110900044</t>
  </si>
  <si>
    <t>204674477.79559326</t>
  </si>
  <si>
    <t>14488263.86910183</t>
  </si>
  <si>
    <t>14457115.98425923</t>
  </si>
  <si>
    <t>14500540.596999679</t>
  </si>
  <si>
    <t>14507135.026046775</t>
  </si>
  <si>
    <t>136.51667596089925</t>
  </si>
  <si>
    <t>136.92672896128119</t>
  </si>
  <si>
    <t>136.98899930166925</t>
  </si>
  <si>
    <t>4418665.799999957</t>
  </si>
  <si>
    <t>5555397.750900027</t>
  </si>
  <si>
    <t>177189225.84945488</t>
  </si>
  <si>
    <t>23625305.76221781</t>
  </si>
  <si>
    <t>23702776.630633894</t>
  </si>
  <si>
    <t>23660263.540439337</t>
  </si>
  <si>
    <t>23512877.115580373</t>
  </si>
  <si>
    <t>173.26591104264543</t>
  </si>
  <si>
    <t>172.95514283946883</t>
  </si>
  <si>
    <t>171.87775669283897</t>
  </si>
  <si>
    <t>6946743.169999926</t>
  </si>
  <si>
    <t>9348952.510899995</t>
  </si>
  <si>
    <t>287599513.3298054</t>
  </si>
  <si>
    <t>33024147.570412464</t>
  </si>
  <si>
    <t>33259141.320858445</t>
  </si>
  <si>
    <t>33118220.444815576</t>
  </si>
  <si>
    <t>32695080.945563763</t>
  </si>
  <si>
    <t>244.49318416015558</t>
  </si>
  <si>
    <t>243.45725261381853</t>
  </si>
  <si>
    <t>240.34668753584617</t>
  </si>
  <si>
    <t>9419073.510000013</t>
  </si>
  <si>
    <t>13482246.5717999</t>
  </si>
  <si>
    <t>386900877.5681801</t>
  </si>
  <si>
    <t>19055532.756257802</t>
  </si>
  <si>
    <t>17936604.952306893</t>
  </si>
  <si>
    <t>18234137.478481967</t>
  </si>
  <si>
    <t>20995855.83798606</t>
  </si>
  <si>
    <t>34.2618085260181</t>
  </si>
  <si>
    <t>34.830143641229625</t>
  </si>
  <si>
    <t>40.10547115653783</t>
  </si>
  <si>
    <t>6616588.799999332</t>
  </si>
  <si>
    <t>5679406.030000154</t>
  </si>
  <si>
    <t>263600671.99525642</t>
  </si>
  <si>
    <t>36173549.41264446</t>
  </si>
  <si>
    <t>36696087.45390104</t>
  </si>
  <si>
    <t>36135894.98110758</t>
  </si>
  <si>
    <t>35688665.80292478</t>
  </si>
  <si>
    <t>385.28503059406404</t>
  </si>
  <si>
    <t>379.40337429242345</t>
  </si>
  <si>
    <t>374.70775904964916</t>
  </si>
  <si>
    <t>10081712.61</t>
  </si>
  <si>
    <t>15599206.612699948</t>
  </si>
  <si>
    <t>393648921.68808174</t>
  </si>
  <si>
    <t>20071305.461046707</t>
  </si>
  <si>
    <t>19471685.289147347</t>
  </si>
  <si>
    <t>19685013.941256803</t>
  </si>
  <si>
    <t>21057217.15273665</t>
  </si>
  <si>
    <t>59.7455901603122</t>
  </si>
  <si>
    <t>60.40015323634378</t>
  </si>
  <si>
    <t>64.6105279148742</t>
  </si>
  <si>
    <t>6687057.239999657</t>
  </si>
  <si>
    <t>6885182.0909001045</t>
  </si>
  <si>
    <t>265291757.27155495</t>
  </si>
  <si>
    <t>18602323.88029376</t>
  </si>
  <si>
    <t>18334212.288929507</t>
  </si>
  <si>
    <t>18465758.50419163</t>
  </si>
  <si>
    <t>19007000.847760055</t>
  </si>
  <si>
    <t>85.44669681514807</t>
  </si>
  <si>
    <t>86.05976867204316</t>
  </si>
  <si>
    <t>88.58223157939896</t>
  </si>
  <si>
    <t>5964186.329999809</t>
  </si>
  <si>
    <t>6785844.053600077</t>
  </si>
  <si>
    <t>237091615.69664574</t>
  </si>
  <si>
    <t>46819100.912723884</t>
  </si>
  <si>
    <t>48223070.106115416</t>
  </si>
  <si>
    <t>46101111.430172935</t>
  </si>
  <si>
    <t>46133121.201883435</t>
  </si>
  <si>
    <t>820.4132446301471</t>
  </si>
  <si>
    <t>784.3126189654968</t>
  </si>
  <si>
    <t>784.8571973303975</t>
  </si>
  <si>
    <t>13937553.340000039</t>
  </si>
  <si>
    <t>23242456.152699936</t>
  </si>
  <si>
    <t>501651564.4178009</t>
  </si>
  <si>
    <t>-70089.3404776822</t>
  </si>
  <si>
    <t>-74597.73893774257</t>
  </si>
  <si>
    <t>-65481.78718174486</t>
  </si>
  <si>
    <t>-70188.49531355902</t>
  </si>
  <si>
    <t>-4.7920433569565475</t>
  </si>
  <si>
    <t>-4.206448717270178</t>
  </si>
  <si>
    <t>-4.508800367030193</t>
  </si>
  <si>
    <t>12523.47</t>
  </si>
  <si>
    <t>5786.039999999999</t>
  </si>
  <si>
    <t>720652302.9006329</t>
  </si>
  <si>
    <t>4118810.3659062767</t>
  </si>
  <si>
    <t>2612132.5294813793</t>
  </si>
  <si>
    <t>3176401.001863228</t>
  </si>
  <si>
    <t>6567897.566380486</t>
  </si>
  <si>
    <t>1.7140055954859237</t>
  </si>
  <si>
    <t>2.084262199277312</t>
  </si>
  <si>
    <t>4.3096638674721515</t>
  </si>
  <si>
    <t>1103183.7799999816</t>
  </si>
  <si>
    <t>516354.67999999213</t>
  </si>
  <si>
    <t>430005602.4989481</t>
  </si>
  <si>
    <t>9960164.083447678</t>
  </si>
  <si>
    <t>7533148.449945208</t>
  </si>
  <si>
    <t>8381267.528853575</t>
  </si>
  <si>
    <t>13966076.27154816</t>
  </si>
  <si>
    <t>12.321770403709065</t>
  </si>
  <si>
    <t>13.709016206012366</t>
  </si>
  <si>
    <t>22.84393921109536</t>
  </si>
  <si>
    <t>3067761.069999764</t>
  </si>
  <si>
    <t>2004641.04000005</t>
  </si>
  <si>
    <t>164865976.11620617</t>
  </si>
  <si>
    <t>11078773.861659</t>
  </si>
  <si>
    <t>10512103.902544731</t>
  </si>
  <si>
    <t>11043082.505804341</t>
  </si>
  <si>
    <t>11681135.176627975</t>
  </si>
  <si>
    <t>105.89513244361011</t>
  </si>
  <si>
    <t>111.24401883573262</t>
  </si>
  <si>
    <t>117.6715306553705</t>
  </si>
  <si>
    <t>3926654.1099999566</t>
  </si>
  <si>
    <t>3602129.500000016</t>
  </si>
  <si>
    <t>165720787.90605068</t>
  </si>
  <si>
    <t>9029276.509852577</t>
  </si>
  <si>
    <t>8706278.247257937</t>
  </si>
  <si>
    <t>9031129.961400298</t>
  </si>
  <si>
    <t>9350421.320899524</t>
  </si>
  <si>
    <t>131.76158131935856</t>
  </si>
  <si>
    <t>136.67791575459015</t>
  </si>
  <si>
    <t>141.5100992932309</t>
  </si>
  <si>
    <t>3201914.4099999904</t>
  </si>
  <si>
    <t>3029454.9209000086</t>
  </si>
  <si>
    <t>132765071.89693642</t>
  </si>
  <si>
    <t>13695405.323764045</t>
  </si>
  <si>
    <t>13399427.039037874</t>
  </si>
  <si>
    <t>13719843.862251285</t>
  </si>
  <si>
    <t>13966945.07000298</t>
  </si>
  <si>
    <t>168.48691076146608</t>
  </si>
  <si>
    <t>172.51589204118406</t>
  </si>
  <si>
    <t>175.62298901019741</t>
  </si>
  <si>
    <t>4922184.0599999605</t>
  </si>
  <si>
    <t>4728523.820900014</t>
  </si>
  <si>
    <t>199083844.83686352</t>
  </si>
  <si>
    <t>16819520.79962205</t>
  </si>
  <si>
    <t>16800413.85834784</t>
  </si>
  <si>
    <t>16856821.976252142</t>
  </si>
  <si>
    <t>16801326.564266127</t>
  </si>
  <si>
    <t>241.44769995613578</t>
  </si>
  <si>
    <t>242.25837107660232</t>
  </si>
  <si>
    <t>241.46081693923898</t>
  </si>
  <si>
    <t>5980909.77999999</t>
  </si>
  <si>
    <t>6195517.920000018</t>
  </si>
  <si>
    <t>242264157.4952898</t>
  </si>
  <si>
    <t>17597041.814045582</t>
  </si>
  <si>
    <t>15032598.41894393</t>
  </si>
  <si>
    <t>16451487.805598237</t>
  </si>
  <si>
    <t>21307039.217596725</t>
  </si>
  <si>
    <t>30.767747586272815</t>
  </si>
  <si>
    <t>33.67183836850287</t>
  </si>
  <si>
    <t>43.609866118134946</t>
  </si>
  <si>
    <t>5998749.42999937</t>
  </si>
  <si>
    <t>4608319.990900121</t>
  </si>
  <si>
    <t>272421672.6292639</t>
  </si>
  <si>
    <t>15814193.984819889</t>
  </si>
  <si>
    <t>16111528.265006803</t>
  </si>
  <si>
    <t>15810254.617403917</t>
  </si>
  <si>
    <t>15520799.072048888</t>
  </si>
  <si>
    <t>383.7357277427429</t>
  </si>
  <si>
    <t>376.56015379897866</t>
  </si>
  <si>
    <t>369.66605706780564</t>
  </si>
  <si>
    <t>5618471.549999978</t>
  </si>
  <si>
    <t>6388121.340000017</t>
  </si>
  <si>
    <t>216767545.00587082</t>
  </si>
  <si>
    <t>16095084.506738912</t>
  </si>
  <si>
    <t>14475174.933059305</t>
  </si>
  <si>
    <t>15655491.886292934</t>
  </si>
  <si>
    <t>18154586.700865027</t>
  </si>
  <si>
    <t>55.19230303757723</t>
  </si>
  <si>
    <t>59.69272609046065</t>
  </si>
  <si>
    <t>69.22150891784368</t>
  </si>
  <si>
    <t>5651882.649999745</t>
  </si>
  <si>
    <t>4758465.750000062</t>
  </si>
  <si>
    <t>243456155.07491875</t>
  </si>
  <si>
    <t>13483533.590042617</t>
  </si>
  <si>
    <t>12520627.403354432</t>
  </si>
  <si>
    <t>13333339.864361856</t>
  </si>
  <si>
    <t>14596633.502411943</t>
  </si>
  <si>
    <t>80.32221839462684</t>
  </si>
  <si>
    <t>85.53592420042249</t>
  </si>
  <si>
    <t>93.6401943957656</t>
  </si>
  <si>
    <t>4754683.19999992</t>
  </si>
  <si>
    <t>4243082.470900036</t>
  </si>
  <si>
    <t>200537782.83456516</t>
  </si>
  <si>
    <t>16493759.508958789</t>
  </si>
  <si>
    <t>16972476.072350934</t>
  </si>
  <si>
    <t>16184482.56115971</t>
  </si>
  <si>
    <t>16324319.893365763</t>
  </si>
  <si>
    <t>799.3065871880443</t>
  </si>
  <si>
    <t>762.1965979636295</t>
  </si>
  <si>
    <t>768.7821368261167</t>
  </si>
  <si>
    <t>5854713.609999987</t>
  </si>
  <si>
    <t>7971318.009999997</t>
  </si>
  <si>
    <t>226998738.96362686</t>
  </si>
  <si>
    <t>-131604.82757621034</t>
  </si>
  <si>
    <t>-178179.90479001444</t>
  </si>
  <si>
    <t>-110984.71093787826</t>
  </si>
  <si>
    <t>-105649.86700074116</t>
  </si>
  <si>
    <t>-6.526258325031662</t>
  </si>
  <si>
    <t>-4.065076219246878</t>
  </si>
  <si>
    <t>-3.8696750055212497</t>
  </si>
  <si>
    <t>17365.749999999996</t>
  </si>
  <si>
    <t>5246.08</t>
  </si>
  <si>
    <t>429677364.40892696</t>
  </si>
  <si>
    <t>2578779.3259579735</t>
  </si>
  <si>
    <t>1896116.6244079252</t>
  </si>
  <si>
    <t>2044776.8027559263</t>
  </si>
  <si>
    <t>3795444.5507103815</t>
  </si>
  <si>
    <t>2.1181968555290087</t>
  </si>
  <si>
    <t>2.2842686668646874</t>
  </si>
  <si>
    <t>4.239981132573966</t>
  </si>
  <si>
    <t>699764.7700000171</t>
  </si>
  <si>
    <t>357046.46999999665</t>
  </si>
  <si>
    <t>389945607.51912117</t>
  </si>
  <si>
    <t>6573902.273504647</t>
  </si>
  <si>
    <t>5358979.446385791</t>
  </si>
  <si>
    <t>5680622.165201633</t>
  </si>
  <si>
    <t>8682105.208927818</t>
  </si>
  <si>
    <t>13.520894381669116</t>
  </si>
  <si>
    <t>14.332410319218548</t>
  </si>
  <si>
    <t>21.905258028116247</t>
  </si>
  <si>
    <t>1978834.319999904</t>
  </si>
  <si>
    <t>1473521.530000021</t>
  </si>
  <si>
    <t>117201313.01606941</t>
  </si>
  <si>
    <t>8033837.070203716</t>
  </si>
  <si>
    <t>7829619.289365657</t>
  </si>
  <si>
    <t>7899819.740310956</t>
  </si>
  <si>
    <t>8372072.180934613</t>
  </si>
  <si>
    <t>108.80969592069788</t>
  </si>
  <si>
    <t>109.78528482720175</t>
  </si>
  <si>
    <t>116.34826606076702</t>
  </si>
  <si>
    <t>2516221.299999982</t>
  </si>
  <si>
    <t>2792847.5000000023</t>
  </si>
  <si>
    <t>130940058.88774109</t>
  </si>
  <si>
    <t>6723675.2037776355</t>
  </si>
  <si>
    <t>6628405.7708493285</t>
  </si>
  <si>
    <t>6630296.137428824</t>
  </si>
  <si>
    <t>6912323.703054744</t>
  </si>
  <si>
    <t>134.75930166201087</t>
  </si>
  <si>
    <t>134.79773390182007</t>
  </si>
  <si>
    <t>140.5315165197053</t>
  </si>
  <si>
    <t>2064426.5699999877</t>
  </si>
  <si>
    <t>2411726.2718000044</t>
  </si>
  <si>
    <t>109251558.27470207</t>
  </si>
  <si>
    <t>10102572.903965034</t>
  </si>
  <si>
    <t>10051582.714341763</t>
  </si>
  <si>
    <t>9990284.055785038</t>
  </si>
  <si>
    <t>10265851.941768354</t>
  </si>
  <si>
    <t>171.44679529135846</t>
  </si>
  <si>
    <t>170.40124267901066</t>
  </si>
  <si>
    <t>175.10152046408464</t>
  </si>
  <si>
    <t>3058410.949999986</t>
  </si>
  <si>
    <t>3738381.050000009</t>
  </si>
  <si>
    <t>163091276.08889008</t>
  </si>
  <si>
    <t>12565444.155798716</t>
  </si>
  <si>
    <t>12678634.55369371</t>
  </si>
  <si>
    <t>12484060.268698132</t>
  </si>
  <si>
    <t>12533637.6450042</t>
  </si>
  <si>
    <t>243.84334173850775</t>
  </si>
  <si>
    <t>240.10116874118918</t>
  </si>
  <si>
    <t>241.05467150695642</t>
  </si>
  <si>
    <t>3792556.169999984</t>
  </si>
  <si>
    <t>4804938.720000009</t>
  </si>
  <si>
    <t>193654108.42855644</t>
  </si>
  <si>
    <t>12572949.352528045</t>
  </si>
  <si>
    <t>11169623.857544597</t>
  </si>
  <si>
    <t>11711333.883874364</t>
  </si>
  <si>
    <t>14837890.31616607</t>
  </si>
  <si>
    <t>32.1065843926983</t>
  </si>
  <si>
    <t>33.66370564391927</t>
  </si>
  <si>
    <t>42.65085232246234</t>
  </si>
  <si>
    <t>3986685.9799998077</t>
  </si>
  <si>
    <t>3534262.350000072</t>
  </si>
  <si>
    <t>209875058.05218983</t>
  </si>
  <si>
    <t>12095769.256600583</t>
  </si>
  <si>
    <t>12302493.782208381</t>
  </si>
  <si>
    <t>12035479.71176654</t>
  </si>
  <si>
    <t>11949334.27582676</t>
  </si>
  <si>
    <t>383.7334305118023</t>
  </si>
  <si>
    <t>375.40485688604304</t>
  </si>
  <si>
    <t>372.71785015055394</t>
  </si>
  <si>
    <t>3562089.829999987</t>
  </si>
  <si>
    <t>5024957.100000006</t>
  </si>
  <si>
    <t>170954288.20528603</t>
  </si>
  <si>
    <t>11759224.431671826</t>
  </si>
  <si>
    <t>11005604.024626281</t>
  </si>
  <si>
    <t>11338023.369621389</t>
  </si>
  <si>
    <t>12934045.90076807</t>
  </si>
  <si>
    <t>57.4258359011854</t>
  </si>
  <si>
    <t>59.160357578810164</t>
  </si>
  <si>
    <t>67.4881992641134</t>
  </si>
  <si>
    <t>3756752.359999915</t>
  </si>
  <si>
    <t>3729112.660000035</t>
  </si>
  <si>
    <t>193234497.79316616</t>
  </si>
  <si>
    <t>9887857.727340823</t>
  </si>
  <si>
    <t>9488307.237208657</t>
  </si>
  <si>
    <t>9647973.914526489</t>
  </si>
  <si>
    <t>10527292.030287353</t>
  </si>
  <si>
    <t>83.01812232884767</t>
  </si>
  <si>
    <t>84.41512892001617</t>
  </si>
  <si>
    <t>92.1087392843537</t>
  </si>
  <si>
    <t>3128013.869999962</t>
  </si>
  <si>
    <t>3330227.3709000186</t>
  </si>
  <si>
    <t>160850089.5683794</t>
  </si>
  <si>
    <t>13471408.763835939</t>
  </si>
  <si>
    <t>14009632.847601302</t>
  </si>
  <si>
    <t>13231252.160805894</t>
  </si>
  <si>
    <t>13173341.283100653</t>
  </si>
  <si>
    <t>818.0807502248936</t>
  </si>
  <si>
    <t>772.6278634047237</t>
  </si>
  <si>
    <t>769.2462063124469</t>
  </si>
  <si>
    <t>4079285.469999994</t>
  </si>
  <si>
    <t>6985242.170000002</t>
  </si>
  <si>
    <t>183977478.1017866</t>
  </si>
  <si>
    <t>-197401.82548454963</t>
  </si>
  <si>
    <t>-206517.95860099068</t>
  </si>
  <si>
    <t>-167400.16267887212</t>
  </si>
  <si>
    <t>-218287.35517378777</t>
  </si>
  <si>
    <t>-9.56455903116852</t>
  </si>
  <si>
    <t>-7.752878968084111</t>
  </si>
  <si>
    <t>-10.10964038411392</t>
  </si>
  <si>
    <t>9555.23</t>
  </si>
  <si>
    <t>6483.66</t>
  </si>
  <si>
    <t>414499402.66821575</t>
  </si>
  <si>
    <t>1254378.509979429</t>
  </si>
  <si>
    <t>912634.6349380438</t>
  </si>
  <si>
    <t>1016574.1286612717</t>
  </si>
  <si>
    <t>1833926.7663387675</t>
  </si>
  <si>
    <t>2.090925541814733</t>
  </si>
  <si>
    <t>2.3290599867604294</t>
  </si>
  <si>
    <t>4.2016861630676</t>
  </si>
  <si>
    <t>354245.6600000051</t>
  </si>
  <si>
    <t>175811.83999999988</t>
  </si>
  <si>
    <t>507815509.6015091</t>
  </si>
  <si>
    <t>3545335.3718831525</t>
  </si>
  <si>
    <t>2933979.694486852</t>
  </si>
  <si>
    <t>3089828.3844179558</t>
  </si>
  <si>
    <t>4612198.036744891</t>
  </si>
  <si>
    <t>13.876180923604105</t>
  </si>
  <si>
    <t>14.613263263422038</t>
  </si>
  <si>
    <t>21.813271078059454</t>
  </si>
  <si>
    <t>1135427.3899999962</t>
  </si>
  <si>
    <t>778900.7699999964</t>
  </si>
  <si>
    <t>66216781.85493469</t>
  </si>
  <si>
    <t>5415811.746956442</t>
  </si>
  <si>
    <t>5314739.500799588</t>
  </si>
  <si>
    <t>5326325.829332458</t>
  </si>
  <si>
    <t>5606369.910737279</t>
  </si>
  <si>
    <t>109.53031553695337</t>
  </si>
  <si>
    <t>109.76909567282439</t>
  </si>
  <si>
    <t>115.54046350673451</t>
  </si>
  <si>
    <t>1748505.6499999939</t>
  </si>
  <si>
    <t>1814913.0000000012</t>
  </si>
  <si>
    <t>88827822.26101589</t>
  </si>
  <si>
    <t>4523436.236990564</t>
  </si>
  <si>
    <t>4502935.049465991</t>
  </si>
  <si>
    <t>4451707.075764188</t>
  </si>
  <si>
    <t>4615666.585741531</t>
  </si>
  <si>
    <t>136.20081211899188</t>
  </si>
  <si>
    <t>134.6513135042554</t>
  </si>
  <si>
    <t>139.61061630747804</t>
  </si>
  <si>
    <t>1430331.599999996</t>
  </si>
  <si>
    <t>1580375.5100000026</t>
  </si>
  <si>
    <t>74554873.08830547</t>
  </si>
  <si>
    <t>6968982.723405115</t>
  </si>
  <si>
    <t>6958984.762790156</t>
  </si>
  <si>
    <t>6888652.568947671</t>
  </si>
  <si>
    <t>7059310.838477546</t>
  </si>
  <si>
    <t>172.19242744569098</t>
  </si>
  <si>
    <t>170.4521346302685</t>
  </si>
  <si>
    <t>174.67488589294666</t>
  </si>
  <si>
    <t>2161941.129999996</t>
  </si>
  <si>
    <t>2514203.6899999985</t>
  </si>
  <si>
    <t>109509393.53596592</t>
  </si>
  <si>
    <t>8899903.63988643</t>
  </si>
  <si>
    <t>8991104.138529906</t>
  </si>
  <si>
    <t>8819763.08082378</t>
  </si>
  <si>
    <t>8888843.700305615</t>
  </si>
  <si>
    <t>244.40317871398025</t>
  </si>
  <si>
    <t>239.74565295269596</t>
  </si>
  <si>
    <t>241.62345602657427</t>
  </si>
  <si>
    <t>2685123.8699999917</t>
  </si>
  <si>
    <t>3376859.990900005</t>
  </si>
  <si>
    <t>133052293.75921154</t>
  </si>
  <si>
    <t>7543066.289949482</t>
  </si>
  <si>
    <t>6796177.942235208</t>
  </si>
  <si>
    <t>7081678.178763246</t>
  </si>
  <si>
    <t>8751342.748850277</t>
  </si>
  <si>
    <t>32.762138171207134</t>
  </si>
  <si>
    <t>34.1384408926111</t>
  </si>
  <si>
    <t>42.187344527816606</t>
  </si>
  <si>
    <t>2529597.9699999355</t>
  </si>
  <si>
    <t>2068979.950000023</t>
  </si>
  <si>
    <t>130572495.08140278</t>
  </si>
  <si>
    <t>8999644.589955913</t>
  </si>
  <si>
    <t>9168856.008422934</t>
  </si>
  <si>
    <t>8891752.967539992</t>
  </si>
  <si>
    <t>8938324.79390482</t>
  </si>
  <si>
    <t>385.11659981615145</t>
  </si>
  <si>
    <t>373.4775271984204</t>
  </si>
  <si>
    <t>375.4336690988248</t>
  </si>
  <si>
    <t>2625196.6599999946</t>
  </si>
  <si>
    <t>3767850.0900000017</t>
  </si>
  <si>
    <t>122959128.74841785</t>
  </si>
  <si>
    <t>7528169.592154143</t>
  </si>
  <si>
    <t>7095625.1930674</t>
  </si>
  <si>
    <t>7283117.562423613</t>
  </si>
  <si>
    <t>8205766.02097157</t>
  </si>
  <si>
    <t>57.89464179524808</t>
  </si>
  <si>
    <t>59.42442997710212</t>
  </si>
  <si>
    <t>66.9525054541948</t>
  </si>
  <si>
    <t>2491169.359999964</t>
  </si>
  <si>
    <t>2322960.1709000156</t>
  </si>
  <si>
    <t>129888303.4337883</t>
  </si>
  <si>
    <t>6453314.714964241</t>
  </si>
  <si>
    <t>6219382.771016885</t>
  </si>
  <si>
    <t>6307819.006185202</t>
  </si>
  <si>
    <t>6832742.367690595</t>
  </si>
  <si>
    <t>83.42341950607475</t>
  </si>
  <si>
    <t>84.60965508886686</t>
  </si>
  <si>
    <t>91.65069170096838</t>
  </si>
  <si>
    <t>2112382.879999983</t>
  </si>
  <si>
    <t>2100603.3400000045</t>
  </si>
  <si>
    <t>107245542.48267746</t>
  </si>
  <si>
    <t>10850849.344937079</t>
  </si>
  <si>
    <t>11245401.582458992</t>
  </si>
  <si>
    <t>10551340.294952314</t>
  </si>
  <si>
    <t>10755806.15739995</t>
  </si>
  <si>
    <t>816.4223596964565</t>
  </si>
  <si>
    <t>766.0331272653052</t>
  </si>
  <si>
    <t>780.8774616959453</t>
  </si>
  <si>
    <t>3179749.629999998</t>
  </si>
  <si>
    <t>5553752.110000005</t>
  </si>
  <si>
    <t>142353689.1656351</t>
  </si>
  <si>
    <t>-41696.41600107184</t>
  </si>
  <si>
    <t>-44883.64437071499</t>
  </si>
  <si>
    <t>-38850.957283213545</t>
  </si>
  <si>
    <t>-41354.64634928694</t>
  </si>
  <si>
    <t>-3.2626040830642573</t>
  </si>
  <si>
    <t>-2.8240864493140614</t>
  </si>
  <si>
    <t>-3.0060802754442784</t>
  </si>
  <si>
    <t>6133.98</t>
  </si>
  <si>
    <t>3290.34</t>
  </si>
  <si>
    <t>734239075.3583355</t>
  </si>
  <si>
    <t>5154272.765072731</t>
  </si>
  <si>
    <t>4716806.856562551</t>
  </si>
  <si>
    <t>4671250.262072097</t>
  </si>
  <si>
    <t>6074761.176586391</t>
  </si>
  <si>
    <t>3.0813013831883214</t>
  </si>
  <si>
    <t>3.051541080957272</t>
  </si>
  <si>
    <t>3.968398661461311</t>
  </si>
  <si>
    <t>1964087.1759999522</t>
  </si>
  <si>
    <t>456578.1809999922</t>
  </si>
  <si>
    <t>147841950.9742403</t>
  </si>
  <si>
    <t>17959240.59558187</t>
  </si>
  <si>
    <t>17349412.515473507</t>
  </si>
  <si>
    <t>17186999.320868645</t>
  </si>
  <si>
    <t>19341309.950404868</t>
  </si>
  <si>
    <t>16.532051363986643</t>
  </si>
  <si>
    <t>16.37728973888827</t>
  </si>
  <si>
    <t>18.43010702879425</t>
  </si>
  <si>
    <t>8963199.572999522</t>
  </si>
  <si>
    <t>2569155.304400104</t>
  </si>
  <si>
    <t>213206125.01315975</t>
  </si>
  <si>
    <t>63139516.80251713</t>
  </si>
  <si>
    <t>63396755.179092884</t>
  </si>
  <si>
    <t>63979277.10155112</t>
  </si>
  <si>
    <t>62042518.126907185</t>
  </si>
  <si>
    <t>112.42632538463278</t>
  </si>
  <si>
    <t>113.45935616062381</t>
  </si>
  <si>
    <t>110.02475301634908</t>
  </si>
  <si>
    <t>28202126.462300178</t>
  </si>
  <si>
    <t>17270168.576899555</t>
  </si>
  <si>
    <t>536802556.3392906</t>
  </si>
  <si>
    <t>60838820.01911324</t>
  </si>
  <si>
    <t>61226696.46268436</t>
  </si>
  <si>
    <t>61611748.61268166</t>
  </si>
  <si>
    <t>59678014.98197377</t>
  </si>
  <si>
    <t>137.8681556750891</t>
  </si>
  <si>
    <t>138.7352027775113</t>
  </si>
  <si>
    <t>134.38088832588846</t>
  </si>
  <si>
    <t>26257189.51950003</t>
  </si>
  <si>
    <t>17616555.875199705</t>
  </si>
  <si>
    <t>523712450.74820995</t>
  </si>
  <si>
    <t>111226500.0359623</t>
  </si>
  <si>
    <t>112280604.78374997</t>
  </si>
  <si>
    <t>112507521.80355422</t>
  </si>
  <si>
    <t>108891373.52058236</t>
  </si>
  <si>
    <t>174.9074369278113</t>
  </si>
  <si>
    <t>175.26092161384145</t>
  </si>
  <si>
    <t>169.6277917518882</t>
  </si>
  <si>
    <t>46348334.923000656</t>
  </si>
  <si>
    <t>34321582.95129934</t>
  </si>
  <si>
    <t>960189351.9222164</t>
  </si>
  <si>
    <t>180929499.6664838</t>
  </si>
  <si>
    <t>184075370.4580115</t>
  </si>
  <si>
    <t>181750208.24941713</t>
  </si>
  <si>
    <t>176962920.29202136</t>
  </si>
  <si>
    <t>248.40575371479247</t>
  </si>
  <si>
    <t>245.26799731914915</t>
  </si>
  <si>
    <t>238.8076551758861</t>
  </si>
  <si>
    <t>71180632.37439957</t>
  </si>
  <si>
    <t>61565530.00709917</t>
  </si>
  <si>
    <t>1583235279.4636106</t>
  </si>
  <si>
    <t>48081046.363827914</t>
  </si>
  <si>
    <t>47280557.41363679</t>
  </si>
  <si>
    <t>47791751.01456404</t>
  </si>
  <si>
    <t>49170830.6632842</t>
  </si>
  <si>
    <t>36.224371952520265</t>
  </si>
  <si>
    <t>36.61602696152818</t>
  </si>
  <si>
    <t>37.67261971085523</t>
  </si>
  <si>
    <t>24421934.682401143</t>
  </si>
  <si>
    <t>8846844.820199957</t>
  </si>
  <si>
    <t>451190631.17880726</t>
  </si>
  <si>
    <t>232468674.70264703</t>
  </si>
  <si>
    <t>238516704.92333394</t>
  </si>
  <si>
    <t>231587517.47151458</t>
  </si>
  <si>
    <t>227301801.71309167</t>
  </si>
  <si>
    <t>391.6929226347082</t>
  </si>
  <si>
    <t>380.31378805644346</t>
  </si>
  <si>
    <t>373.2757714465047</t>
  </si>
  <si>
    <t>83798486.80879945</t>
  </si>
  <si>
    <t>90547917.99759956</t>
  </si>
  <si>
    <t>2059064266.1254435</t>
  </si>
  <si>
    <t>59877443.54055886</t>
  </si>
  <si>
    <t>59488148.44325176</t>
  </si>
  <si>
    <t>60361612.43117152</t>
  </si>
  <si>
    <t>59782569.74725391</t>
  </si>
  <si>
    <t>61.4947211958731</t>
  </si>
  <si>
    <t>62.397647674800254</t>
  </si>
  <si>
    <t>61.79907351608372</t>
  </si>
  <si>
    <t>29051886.512000166</t>
  </si>
  <si>
    <t>13586171.81479941</t>
  </si>
  <si>
    <t>523377414.72842693</t>
  </si>
  <si>
    <t>63570616.76074627</t>
  </si>
  <si>
    <t>63553944.00278126</t>
  </si>
  <si>
    <t>64357391.939903855</t>
  </si>
  <si>
    <t>62800514.33955113</t>
  </si>
  <si>
    <t>86.94228922800758</t>
  </si>
  <si>
    <t>88.04141224901005</t>
  </si>
  <si>
    <t>85.9115915943462</t>
  </si>
  <si>
    <t>29548016.87310031</t>
  </si>
  <si>
    <t>16118405.268299473</t>
  </si>
  <si>
    <t>543141719.8969669</t>
  </si>
  <si>
    <t>338569519.0604712</t>
  </si>
  <si>
    <t>352413947.1563245</t>
  </si>
  <si>
    <t>331632459.3105907</t>
  </si>
  <si>
    <t>331662150.7144896</t>
  </si>
  <si>
    <t>832.2150523805379</t>
  </si>
  <si>
    <t>783.1401870534535</t>
  </si>
  <si>
    <t>783.2103024204824</t>
  </si>
  <si>
    <t>118567597.26990035</t>
  </si>
  <si>
    <t>164747681.48809996</t>
  </si>
  <si>
    <t>3159220045.8450985</t>
  </si>
  <si>
    <t>-221153.44825725764</t>
  </si>
  <si>
    <t>-230858.93091027407</t>
  </si>
  <si>
    <t>-205477.63195671415</t>
  </si>
  <si>
    <t>-227123.7819047858</t>
  </si>
  <si>
    <t>-13.782622740911885</t>
  </si>
  <si>
    <t>-12.267321310848606</t>
  </si>
  <si>
    <t>-13.559628770434973</t>
  </si>
  <si>
    <t>75682.1305</t>
  </si>
  <si>
    <t>17697.3505</t>
  </si>
  <si>
    <t>3258717.4370031357</t>
  </si>
  <si>
    <t>7528800.246499794</t>
  </si>
  <si>
    <t>13314418.678070998</t>
  </si>
  <si>
    <t>5974911.257270543</t>
  </si>
  <si>
    <t>3297070.804185122</t>
  </si>
  <si>
    <t>4.096480773412109</t>
  </si>
  <si>
    <t>1.8383160151456546</t>
  </si>
  <si>
    <t>1.0144180894782833</t>
  </si>
  <si>
    <t>7127026.5899937255</t>
  </si>
  <si>
    <t>3401556.9100009734</t>
  </si>
  <si>
    <t>835653942.0473404</t>
  </si>
  <si>
    <t>17513450.499558263</t>
  </si>
  <si>
    <t>29295873.61158921</t>
  </si>
  <si>
    <t>15573124.39484849</t>
  </si>
  <si>
    <t>7671353.492252983</t>
  </si>
  <si>
    <t>24.530011305146257</t>
  </si>
  <si>
    <t>13.03968342186467</t>
  </si>
  <si>
    <t>6.423375195621307</t>
  </si>
  <si>
    <t>12381499.52000359</t>
  </si>
  <si>
    <t>8514924.280000404</t>
  </si>
  <si>
    <t>705612926.9225492</t>
  </si>
  <si>
    <t>7948333.279483147</t>
  </si>
  <si>
    <t>12959038.417453004</t>
  </si>
  <si>
    <t>8324889.883616472</t>
  </si>
  <si>
    <t>2561071.5373800676</t>
  </si>
  <si>
    <t>181.76389162720216</t>
  </si>
  <si>
    <t>116.76517453456675</t>
  </si>
  <si>
    <t>35.92167214682546</t>
  </si>
  <si>
    <t>5218064.619999944</t>
  </si>
  <si>
    <t>4266597.670900022</t>
  </si>
  <si>
    <t>236342359.33057785</t>
  </si>
  <si>
    <t>6071299.28057138</t>
  </si>
  <si>
    <t>9787056.050424503</t>
  </si>
  <si>
    <t>6470298.0160775045</t>
  </si>
  <si>
    <t>1956543.775212158</t>
  </si>
  <si>
    <t>220.0426289496943</t>
  </si>
  <si>
    <t>145.47187409680078</t>
  </si>
  <si>
    <t>43.9890232297351</t>
  </si>
  <si>
    <t>3892846.2399999844</t>
  </si>
  <si>
    <t>3303574.8000000063</t>
  </si>
  <si>
    <t>173687133.10041237</t>
  </si>
  <si>
    <t>8474688.430611968</t>
  </si>
  <si>
    <t>13445830.51967079</t>
  </si>
  <si>
    <t>9121219.750908596</t>
  </si>
  <si>
    <t>2857015.0212566084</t>
  </si>
  <si>
    <t>272.3757828354257</t>
  </si>
  <si>
    <t>184.77098654732293</t>
  </si>
  <si>
    <t>57.87531695040228</t>
  </si>
  <si>
    <t>5161457.3799999785</t>
  </si>
  <si>
    <t>4812024.510900016</t>
  </si>
  <si>
    <t>235514156.26015377</t>
  </si>
  <si>
    <t>9326633.818307523</t>
  </si>
  <si>
    <t>14646311.454417115</t>
  </si>
  <si>
    <t>10153468.61692927</t>
  </si>
  <si>
    <t>3180121.38357625</t>
  </si>
  <si>
    <t>377.92056391219495</t>
  </si>
  <si>
    <t>261.99119125091653</t>
  </si>
  <si>
    <t>82.05706060059993</t>
  </si>
  <si>
    <t>5465281.049999975</t>
  </si>
  <si>
    <t>5619348.350000009</t>
  </si>
  <si>
    <t>242028376.8068018</t>
  </si>
  <si>
    <t>19834139.622404084</t>
  </si>
  <si>
    <t>35034871.21651034</t>
  </si>
  <si>
    <t>18236028.067272477</t>
  </si>
  <si>
    <t>6231519.583432234</t>
  </si>
  <si>
    <t>62.69370289948989</t>
  </si>
  <si>
    <t>32.63274805981196</t>
  </si>
  <si>
    <t>11.15109100763428</t>
  </si>
  <si>
    <t>15786280.120002918</t>
  </si>
  <si>
    <t>10640750.840899693</t>
  </si>
  <si>
    <t>672030591.8773966</t>
  </si>
  <si>
    <t>7701114.277586136</t>
  </si>
  <si>
    <t>11753329.227168404</t>
  </si>
  <si>
    <t>8539551.95597574</t>
  </si>
  <si>
    <t>2810461.6496142824</t>
  </si>
  <si>
    <t>571.0766836970217</t>
  </si>
  <si>
    <t>414.9240540292376</t>
  </si>
  <si>
    <t>136.5561269916079</t>
  </si>
  <si>
    <t>4225998.280000005</t>
  </si>
  <si>
    <t>4974952.661800003</t>
  </si>
  <si>
    <t>180811000.8515234</t>
  </si>
  <si>
    <t>14760491.608335003</t>
  </si>
  <si>
    <t>25112184.57108218</t>
  </si>
  <si>
    <t>14559330.866660666</t>
  </si>
  <si>
    <t>4609959.387262979</t>
  </si>
  <si>
    <t>103.82083913958235</t>
  </si>
  <si>
    <t>60.19237169944049</t>
  </si>
  <si>
    <t>19.05886963478989</t>
  </si>
  <si>
    <t>10702352.260000106</t>
  </si>
  <si>
    <t>7842755.370000107</t>
  </si>
  <si>
    <t>476338867.1304922</t>
  </si>
  <si>
    <t>10766871.581286646</t>
  </si>
  <si>
    <t>17889730.111641943</t>
  </si>
  <si>
    <t>11002052.95161767</t>
  </si>
  <si>
    <t>3408831.680600565</t>
  </si>
  <si>
    <t>143.28634563560303</t>
  </si>
  <si>
    <t>88.12005279502831</t>
  </si>
  <si>
    <t>27.302761492319487</t>
  </si>
  <si>
    <t>7368089.039999812</t>
  </si>
  <si>
    <t>5757466.250900048</t>
  </si>
  <si>
    <t>330979818.841424</t>
  </si>
  <si>
    <t>7016023.948556788</t>
  </si>
  <si>
    <t>10208413.875780776</t>
  </si>
  <si>
    <t>7952407.766877605</t>
  </si>
  <si>
    <t>2887250.2030119756</t>
  </si>
  <si>
    <t>1165.743276896286</t>
  </si>
  <si>
    <t>908.1201058441937</t>
  </si>
  <si>
    <t>329.70768562429777</t>
  </si>
  <si>
    <t>3203709.710000001</t>
  </si>
  <si>
    <t>4886346.520000001</t>
  </si>
  <si>
    <t>140684636.83271503</t>
  </si>
  <si>
    <t>-154338.8839661166</t>
  </si>
  <si>
    <t>-259254.53789963832</t>
  </si>
  <si>
    <t>-125879.13928065512</t>
  </si>
  <si>
    <t>-77882.9747180588</t>
  </si>
  <si>
    <t>-3.053573978229468</t>
  </si>
  <si>
    <t>-1.4826404475825672</t>
  </si>
  <si>
    <t>-0.9173279159272903</t>
  </si>
  <si>
    <t>63552.239999999925</t>
  </si>
  <si>
    <t>12176.730000000007</t>
  </si>
  <si>
    <t>238384094.528862</t>
  </si>
  <si>
    <t>3044254.6567248753</t>
  </si>
  <si>
    <t>2426215.787138701</t>
  </si>
  <si>
    <t>2354126.0199326244</t>
  </si>
  <si>
    <t>4352422.163104669</t>
  </si>
  <si>
    <t>2.356338566936208</t>
  </si>
  <si>
    <t>2.2863250505583177</t>
  </si>
  <si>
    <t>4.227068448271187</t>
  </si>
  <si>
    <t>926207.9900000079</t>
  </si>
  <si>
    <t>421732.11999999086</t>
  </si>
  <si>
    <t>627149815.3188238</t>
  </si>
  <si>
    <t>8810892.50459844</t>
  </si>
  <si>
    <t>7920195.796333704</t>
  </si>
  <si>
    <t>7223320.391152009</t>
  </si>
  <si>
    <t>11289161.326310929</t>
  </si>
  <si>
    <t>15.085253950417414</t>
  </si>
  <si>
    <t>13.757945544249955</t>
  </si>
  <si>
    <t>21.501976702831517</t>
  </si>
  <si>
    <t>3199127.2699998124</t>
  </si>
  <si>
    <t>1997528.1700000674</t>
  </si>
  <si>
    <t>149642078.0119276</t>
  </si>
  <si>
    <t>17438220.792760607</t>
  </si>
  <si>
    <t>18180617.266285967</t>
  </si>
  <si>
    <t>16440380.259690471</t>
  </si>
  <si>
    <t>17693664.852305472</t>
  </si>
  <si>
    <t>116.53046653090688</t>
  </si>
  <si>
    <t>105.37624512672079</t>
  </si>
  <si>
    <t>113.40929681766916</t>
  </si>
  <si>
    <t>5999181.699999897</t>
  </si>
  <si>
    <t>6452070.152700048</t>
  </si>
  <si>
    <t>251696073.39599133</t>
  </si>
  <si>
    <t>15418719.97623335</t>
  </si>
  <si>
    <t>16158556.191597996</t>
  </si>
  <si>
    <t>14587994.634215882</t>
  </si>
  <si>
    <t>15509609.102886159</t>
  </si>
  <si>
    <t>143.44545027429288</t>
  </si>
  <si>
    <t>129.5029973031966</t>
  </si>
  <si>
    <t>137.68450813065851</t>
  </si>
  <si>
    <t>5137024.859999937</t>
  </si>
  <si>
    <t>5909784.3709000265</t>
  </si>
  <si>
    <t>219974483.88572407</t>
  </si>
  <si>
    <t>25274790.040201336</t>
  </si>
  <si>
    <t>26526512.790506955</t>
  </si>
  <si>
    <t>24101781.795765713</t>
  </si>
  <si>
    <t>25196075.53433138</t>
  </si>
  <si>
    <t>181.34190683903333</t>
  </si>
  <si>
    <t>164.7658364889404</t>
  </si>
  <si>
    <t>172.24670345252142</t>
  </si>
  <si>
    <t>8205782.049999931</t>
  </si>
  <si>
    <t>9849907.63269997</t>
  </si>
  <si>
    <t>350775285.2198572</t>
  </si>
  <si>
    <t>35249113.90403342</t>
  </si>
  <si>
    <t>37215569.30591355</t>
  </si>
  <si>
    <t>33762814.925894424</t>
  </si>
  <si>
    <t>34768957.48029201</t>
  </si>
  <si>
    <t>256.32852325561896</t>
  </si>
  <si>
    <t>232.54709392641507</t>
  </si>
  <si>
    <t>239.4770708141363</t>
  </si>
  <si>
    <t>11096396.210000012</t>
  </si>
  <si>
    <t>14245397.392699907</t>
  </si>
  <si>
    <t>471037900.5040245</t>
  </si>
  <si>
    <t>19317514.189553127</t>
  </si>
  <si>
    <t>18937716.40169231</t>
  </si>
  <si>
    <t>17048799.002017427</t>
  </si>
  <si>
    <t>21966027.16495067</t>
  </si>
  <si>
    <t>35.73855322873226</t>
  </si>
  <si>
    <t>32.17385864776754</t>
  </si>
  <si>
    <t>41.45346853901646</t>
  </si>
  <si>
    <t>7305738.359999077</t>
  </si>
  <si>
    <t>5650721.520900149</t>
  </si>
  <si>
    <t>294577107.7683077</t>
  </si>
  <si>
    <t>39017864.390001684</t>
  </si>
  <si>
    <t>41469085.30738953</t>
  </si>
  <si>
    <t>37591798.51711395</t>
  </si>
  <si>
    <t>37992709.3455013</t>
  </si>
  <si>
    <t>403.66278576674773</t>
  </si>
  <si>
    <t>365.9210228274924</t>
  </si>
  <si>
    <t>369.82351502454253</t>
  </si>
  <si>
    <t>11800309.549999975</t>
  </si>
  <si>
    <t>16720353.273599908</t>
  </si>
  <si>
    <t>470026470.2826834</t>
  </si>
  <si>
    <t>20743554.083507545</t>
  </si>
  <si>
    <t>21135892.692973312</t>
  </si>
  <si>
    <t>19010516.10841099</t>
  </si>
  <si>
    <t>22084253.449139185</t>
  </si>
  <si>
    <t>62.78951530078372</t>
  </si>
  <si>
    <t>56.475546569258626</t>
  </si>
  <si>
    <t>65.60686080281386</t>
  </si>
  <si>
    <t>7589123.999999667</t>
  </si>
  <si>
    <t>7032451.87090008</t>
  </si>
  <si>
    <t>310305164.0481262</t>
  </si>
  <si>
    <t>19603184.294286482</t>
  </si>
  <si>
    <t>20307922.94807939</t>
  </si>
  <si>
    <t>18287840.62134797</t>
  </si>
  <si>
    <t>20213789.313432444</t>
  </si>
  <si>
    <t>89.85687335158997</t>
  </si>
  <si>
    <t>80.91857462665527</t>
  </si>
  <si>
    <t>89.4403583732625</t>
  </si>
  <si>
    <t>6947857.669999793</t>
  </si>
  <si>
    <t>7068234.130900064</t>
  </si>
  <si>
    <t>288639482.3098469</t>
  </si>
  <si>
    <t>52843113.612083584</t>
  </si>
  <si>
    <t>57004053.89086091</t>
  </si>
  <si>
    <t>51333272.97094688</t>
  </si>
  <si>
    <t>50192013.97444312</t>
  </si>
  <si>
    <t>872.0749914460256</t>
  </si>
  <si>
    <t>785.3207014494826</t>
  </si>
  <si>
    <t>767.8611812630897</t>
  </si>
  <si>
    <t>16912323.330000028</t>
  </si>
  <si>
    <t>26298487.751799934</t>
  </si>
  <si>
    <t>589925238.7090445</t>
  </si>
  <si>
    <t>-75676.63841855482</t>
  </si>
  <si>
    <t>-90736.10624203896</t>
  </si>
  <si>
    <t>-74660.41894331842</t>
  </si>
  <si>
    <t>-61633.39007030686</t>
  </si>
  <si>
    <t>-5.229143974299157</t>
  </si>
  <si>
    <t>-4.302698187143754</t>
  </si>
  <si>
    <t>-3.5519473300084634</t>
  </si>
  <si>
    <t>16116.919999999991</t>
  </si>
  <si>
    <t>6550.259999999999</t>
  </si>
  <si>
    <t>980457653.0096922</t>
  </si>
  <si>
    <t>4121382.7797126025</t>
  </si>
  <si>
    <t>2616302.453458466</t>
  </si>
  <si>
    <t>2844511.090671381</t>
  </si>
  <si>
    <t>6903334.795012971</t>
  </si>
  <si>
    <t>1.7354687568544855</t>
  </si>
  <si>
    <t>1.8868461174512394</t>
  </si>
  <si>
    <t>4.579180759095546</t>
  </si>
  <si>
    <t>1098105.6399999838</t>
  </si>
  <si>
    <t>583920.6999999912</t>
  </si>
  <si>
    <t>875101652.2491465</t>
  </si>
  <si>
    <t>9977747.574951021</t>
  </si>
  <si>
    <t>7530256.386690695</t>
  </si>
  <si>
    <t>7663233.510109971</t>
  </si>
  <si>
    <t>14739752.82805601</t>
  </si>
  <si>
    <t>12.251869667145598</t>
  </si>
  <si>
    <t>12.46822596382156</t>
  </si>
  <si>
    <t>23.981856832187656</t>
  </si>
  <si>
    <t>3166993.859999734</t>
  </si>
  <si>
    <t>1996566.5400000587</t>
  </si>
  <si>
    <t>165169691.7423935</t>
  </si>
  <si>
    <t>11732114.722198978</t>
  </si>
  <si>
    <t>11674179.720223472</t>
  </si>
  <si>
    <t>11463716.00726274</t>
  </si>
  <si>
    <t>12058448.439110966</t>
  </si>
  <si>
    <t>111.12022501854645</t>
  </si>
  <si>
    <t>109.11693436319345</t>
  </si>
  <si>
    <t>114.77787185401505</t>
  </si>
  <si>
    <t>4538023.21999995</t>
  </si>
  <si>
    <t>3835915.531800023</t>
  </si>
  <si>
    <t>196704567.58829403</t>
  </si>
  <si>
    <t>9819551.498325571</t>
  </si>
  <si>
    <t>9874549.390512187</t>
  </si>
  <si>
    <t>9644909.064168952</t>
  </si>
  <si>
    <t>9939196.040295688</t>
  </si>
  <si>
    <t>137.4691900504265</t>
  </si>
  <si>
    <t>134.27223711446246</t>
  </si>
  <si>
    <t>138.36917264545514</t>
  </si>
  <si>
    <t>3758860.4899999825</t>
  </si>
  <si>
    <t>3324744.9209000063</t>
  </si>
  <si>
    <t>163943943.69787788</t>
  </si>
  <si>
    <t>14899293.001501612</t>
  </si>
  <si>
    <t>15154812.385050304</t>
  </si>
  <si>
    <t>14727250.21258917</t>
  </si>
  <si>
    <t>14815816.406865442</t>
  </si>
  <si>
    <t>175.28119806905278</t>
  </si>
  <si>
    <t>170.33599598183173</t>
  </si>
  <si>
    <t>171.36035631350268</t>
  </si>
  <si>
    <t>5685558.3099999465</t>
  </si>
  <si>
    <t>5222686.671800027</t>
  </si>
  <si>
    <t>244238167.55989742</t>
  </si>
  <si>
    <t>18679960.55671724</t>
  </si>
  <si>
    <t>19269848.913803443</t>
  </si>
  <si>
    <t>18582135.1300319</t>
  </si>
  <si>
    <t>18187897.626316566</t>
  </si>
  <si>
    <t>249.51571189324534</t>
  </si>
  <si>
    <t>240.61084735050173</t>
  </si>
  <si>
    <t>235.5060615353891</t>
  </si>
  <si>
    <t>7025088.439999942</t>
  </si>
  <si>
    <t>6799969.60090002</t>
  </si>
  <si>
    <t>305263839.43024445</t>
  </si>
  <si>
    <t>17634630.519515302</t>
  </si>
  <si>
    <t>15527588.532620504</t>
  </si>
  <si>
    <t>15543680.818534184</t>
  </si>
  <si>
    <t>21832622.207393467</t>
  </si>
  <si>
    <t>31.78021079430222</t>
  </si>
  <si>
    <t>31.813146767420296</t>
  </si>
  <si>
    <t>44.68468072075013</t>
  </si>
  <si>
    <t>6439769.659999207</t>
  </si>
  <si>
    <t>4581435.420000138</t>
  </si>
  <si>
    <t>295512278.18505</t>
  </si>
  <si>
    <t>18015741.003067546</t>
  </si>
  <si>
    <t>18963725.999946572</t>
  </si>
  <si>
    <t>17974143.148798667</t>
  </si>
  <si>
    <t>17109353.860457394</t>
  </si>
  <si>
    <t>397.2209631123473</t>
  </si>
  <si>
    <t>376.4928080433729</t>
  </si>
  <si>
    <t>358.3786234150394</t>
  </si>
  <si>
    <t>6773846.259999979</t>
  </si>
  <si>
    <t>7213027.022700007</t>
  </si>
  <si>
    <t>275609650.3280153</t>
  </si>
  <si>
    <t>16416833.051118314</t>
  </si>
  <si>
    <t>15472272.586383455</t>
  </si>
  <si>
    <t>15314282.792427862</t>
  </si>
  <si>
    <t>18463943.77454436</t>
  </si>
  <si>
    <t>57.89806119148254</t>
  </si>
  <si>
    <t>57.30685503821707</t>
  </si>
  <si>
    <t>69.09305278369197</t>
  </si>
  <si>
    <t>6231939.879999654</t>
  </si>
  <si>
    <t>4869915.590000065</t>
  </si>
  <si>
    <t>276550241.12220573</t>
  </si>
  <si>
    <t>14089218.585580649</t>
  </si>
  <si>
    <t>13716899.853912983</t>
  </si>
  <si>
    <t>13577944.75654484</t>
  </si>
  <si>
    <t>14972811.146284293</t>
  </si>
  <si>
    <t>84.24010080336657</t>
  </si>
  <si>
    <t>83.38673076100275</t>
  </si>
  <si>
    <t>91.95307494447798</t>
  </si>
  <si>
    <t>5410684.519999862</t>
  </si>
  <si>
    <t>4472262.390000034</t>
  </si>
  <si>
    <t>236824735.15547466</t>
  </si>
  <si>
    <t>19758634.281327136</t>
  </si>
  <si>
    <t>21009992.24972206</t>
  </si>
  <si>
    <t>19779503.593159664</t>
  </si>
  <si>
    <t>18486407.001099803</t>
  </si>
  <si>
    <t>835.8526515643722</t>
  </si>
  <si>
    <t>786.8994109309224</t>
  </si>
  <si>
    <t>735.4554026535568</t>
  </si>
  <si>
    <t>7502162.039999995</t>
  </si>
  <si>
    <t>9372468.739999993</t>
  </si>
  <si>
    <t>280132143.7786226</t>
  </si>
  <si>
    <t>-130777.39978224976</t>
  </si>
  <si>
    <t>-151665.66975753318</t>
  </si>
  <si>
    <t>-144185.88984045773</t>
  </si>
  <si>
    <t>-96480.6397487605</t>
  </si>
  <si>
    <t>-5.513912228514985</t>
  </si>
  <si>
    <t>-5.241979562293962</t>
  </si>
  <si>
    <t>-3.5076216006965932</t>
  </si>
  <si>
    <t>25936.159999999978</t>
  </si>
  <si>
    <t>5773.8099999999995</t>
  </si>
  <si>
    <t>1367304351.8338842</t>
  </si>
  <si>
    <t>2355622.089681891</t>
  </si>
  <si>
    <t>1621328.2083678916</t>
  </si>
  <si>
    <t>1765201.8617275218</t>
  </si>
  <si>
    <t>3680336.198950516</t>
  </si>
  <si>
    <t>2.011059466647348</t>
  </si>
  <si>
    <t>2.1895171478846867</t>
  </si>
  <si>
    <t>4.565007205293084</t>
  </si>
  <si>
    <t>648950.2900000165</t>
  </si>
  <si>
    <t>307774.039999999</t>
  </si>
  <si>
    <t>423229519.6565552</t>
  </si>
  <si>
    <t>6026156.442848563</t>
  </si>
  <si>
    <t>4848002.735751922</t>
  </si>
  <si>
    <t>4854173.13808924</t>
  </si>
  <si>
    <t>8376293.45470565</t>
  </si>
  <si>
    <t>13.332314166543616</t>
  </si>
  <si>
    <t>13.349283163258164</t>
  </si>
  <si>
    <t>23.03533681318724</t>
  </si>
  <si>
    <t>1908417.2599999232</t>
  </si>
  <si>
    <t>1265915.3000000103</t>
  </si>
  <si>
    <t>104445800.4693861</t>
  </si>
  <si>
    <t>7972369.472813666</t>
  </si>
  <si>
    <t>8067766.305505898</t>
  </si>
  <si>
    <t>7589955.00519501</t>
  </si>
  <si>
    <t>8259387.1077402</t>
  </si>
  <si>
    <t>112.94330699834664</t>
  </si>
  <si>
    <t>106.25426986777649</t>
  </si>
  <si>
    <t>115.6258694666284</t>
  </si>
  <si>
    <t>2772630.419999986</t>
  </si>
  <si>
    <t>2735727.96000001</t>
  </si>
  <si>
    <t>137316881.3240738</t>
  </si>
  <si>
    <t>6663923.6765936725</t>
  </si>
  <si>
    <t>6804173.720004765</t>
  </si>
  <si>
    <t>6370865.595710014</t>
  </si>
  <si>
    <t>6816731.7140662465</t>
  </si>
  <si>
    <t>139.60429471275089</t>
  </si>
  <si>
    <t>130.71391689837736</t>
  </si>
  <si>
    <t>139.8619527291542</t>
  </si>
  <si>
    <t>2279785.3299999917</t>
  </si>
  <si>
    <t>2342609.950900004</t>
  </si>
  <si>
    <t>114201954.94588852</t>
  </si>
  <si>
    <t>10259304.699689372</t>
  </si>
  <si>
    <t>10543483.416632058</t>
  </si>
  <si>
    <t>9883601.956486937</t>
  </si>
  <si>
    <t>10350828.725949027</t>
  </si>
  <si>
    <t>177.2162940857561</t>
  </si>
  <si>
    <t>166.12491732896777</t>
  </si>
  <si>
    <t>173.97812800990044</t>
  </si>
  <si>
    <t>3468973.8599999812</t>
  </si>
  <si>
    <t>3715065.38090001</t>
  </si>
  <si>
    <t>173261165.9353161</t>
  </si>
  <si>
    <t>13116592.925537046</t>
  </si>
  <si>
    <t>13650808.289798696</t>
  </si>
  <si>
    <t>12733403.55944802</t>
  </si>
  <si>
    <t>12965566.927364415</t>
  </si>
  <si>
    <t>251.86457849404408</t>
  </si>
  <si>
    <t>234.93797965733722</t>
  </si>
  <si>
    <t>239.22151566199403</t>
  </si>
  <si>
    <t>4360077.259999983</t>
  </si>
  <si>
    <t>4951043.254500014</t>
  </si>
  <si>
    <t>214541945.91081047</t>
  </si>
  <si>
    <t>11598834.219929833</t>
  </si>
  <si>
    <t>10545930.275705894</t>
  </si>
  <si>
    <t>10157356.711237816</t>
  </si>
  <si>
    <t>14093215.67284659</t>
  </si>
  <si>
    <t>32.896099530249245</t>
  </si>
  <si>
    <t>31.68401540704846</t>
  </si>
  <si>
    <t>43.961207153363056</t>
  </si>
  <si>
    <t>4004563.6199998367</t>
  </si>
  <si>
    <t>3207469.2600000766</t>
  </si>
  <si>
    <t>196314842.227602</t>
  </si>
  <si>
    <t>12958498.76802343</t>
  </si>
  <si>
    <t>13664916.893211363</t>
  </si>
  <si>
    <t>12650872.700799182</t>
  </si>
  <si>
    <t>12559706.71005979</t>
  </si>
  <si>
    <t>398.68466500981367</t>
  </si>
  <si>
    <t>369.0991305849506</t>
  </si>
  <si>
    <t>366.43929132194864</t>
  </si>
  <si>
    <t>4248987.449999984</t>
  </si>
  <si>
    <t>5296661.070000009</t>
  </si>
  <si>
    <t>195610509.5268898</t>
  </si>
  <si>
    <t>11106424.674920201</t>
  </si>
  <si>
    <t>10779108.196870752</t>
  </si>
  <si>
    <t>10196878.499808997</t>
  </si>
  <si>
    <t>12343287.328081205</t>
  </si>
  <si>
    <t>59.599841847586234</t>
  </si>
  <si>
    <t>56.38057757914495</t>
  </si>
  <si>
    <t>68.24850063630697</t>
  </si>
  <si>
    <t>3921762.9799999227</t>
  </si>
  <si>
    <t>3469942.490000039</t>
  </si>
  <si>
    <t>190993537.2931223</t>
  </si>
  <si>
    <t>9566983.29786786</t>
  </si>
  <si>
    <t>9522965.323194716</t>
  </si>
  <si>
    <t>8984187.79333633</t>
  </si>
  <si>
    <t>10193796.777072562</t>
  </si>
  <si>
    <t>86.14092430819004</t>
  </si>
  <si>
    <t>81.26735889622283</t>
  </si>
  <si>
    <t>92.2089965452376</t>
  </si>
  <si>
    <t>3371482.359999963</t>
  </si>
  <si>
    <t>3171160.340900014</t>
  </si>
  <si>
    <t>165498265.88479424</t>
  </si>
  <si>
    <t>15419163.262192013</t>
  </si>
  <si>
    <t>16523056.148046304</t>
  </si>
  <si>
    <t>15263001.860657144</t>
  </si>
  <si>
    <t>14471431.77787255</t>
  </si>
  <si>
    <t>851.4405930148564</t>
  </si>
  <si>
    <t>786.5094228927726</t>
  </si>
  <si>
    <t>745.719456759381</t>
  </si>
  <si>
    <t>5119970.759999983</t>
  </si>
  <si>
    <t>7726981.120000017</t>
  </si>
  <si>
    <t>218152857.43615818</t>
  </si>
  <si>
    <t>-174369.90426032204</t>
  </si>
  <si>
    <t>-206026.0408920341</t>
  </si>
  <si>
    <t>-176100.09197754296</t>
  </si>
  <si>
    <t>-140983.57991138985</t>
  </si>
  <si>
    <t>-14.767833194182073</t>
  </si>
  <si>
    <t>-12.622757650171526</t>
  </si>
  <si>
    <t>-10.105625396845378</t>
  </si>
  <si>
    <t>15116.59</t>
  </si>
  <si>
    <t>4091.9099999999994</t>
  </si>
  <si>
    <t>470820884.66599846</t>
  </si>
  <si>
    <t>1489727.4995225607</t>
  </si>
  <si>
    <t>1178685.392816648</t>
  </si>
  <si>
    <t>1141096.053728014</t>
  </si>
  <si>
    <t>2149401.052022867</t>
  </si>
  <si>
    <t>2.269902367792769</t>
  </si>
  <si>
    <t>2.1975131362632596</t>
  </si>
  <si>
    <t>4.139298380260765</t>
  </si>
  <si>
    <t>406149.1100000098</t>
  </si>
  <si>
    <t>201644.7800000005</t>
  </si>
  <si>
    <t>556045970.8558168</t>
  </si>
  <si>
    <t>3862921.1911404263</t>
  </si>
  <si>
    <t>3315513.4765437767</t>
  </si>
  <si>
    <t>3155164.587851729</t>
  </si>
  <si>
    <t>5118085.50902606</t>
  </si>
  <si>
    <t>14.312845792907181</t>
  </si>
  <si>
    <t>13.620630564964337</t>
  </si>
  <si>
    <t>22.094426448227296</t>
  </si>
  <si>
    <t>1268952.4899999814</t>
  </si>
  <si>
    <t>869585.9599999988</t>
  </si>
  <si>
    <t>79054369.50629616</t>
  </si>
  <si>
    <t>6017965.486373691</t>
  </si>
  <si>
    <t>6307554.864902883</t>
  </si>
  <si>
    <t>5767571.996612829</t>
  </si>
  <si>
    <t>5978769.597605407</t>
  </si>
  <si>
    <t>117.08410426386402</t>
  </si>
  <si>
    <t>107.06066224778789</t>
  </si>
  <si>
    <t>110.98102163657201</t>
  </si>
  <si>
    <t>2045281.3499999878</t>
  </si>
  <si>
    <t>2102530.640000003</t>
  </si>
  <si>
    <t>116807438.68119144</t>
  </si>
  <si>
    <t>5046420.326786683</t>
  </si>
  <si>
    <t>5304060.557108035</t>
  </si>
  <si>
    <t>4865121.578326001</t>
  </si>
  <si>
    <t>4970078.844926022</t>
  </si>
  <si>
    <t>143.7726487343607</t>
  </si>
  <si>
    <t>131.87470395549173</t>
  </si>
  <si>
    <t>134.719691123442</t>
  </si>
  <si>
    <t>1691991.1099999945</t>
  </si>
  <si>
    <t>1796761.6700000034</t>
  </si>
  <si>
    <t>95684633.47083664</t>
  </si>
  <si>
    <t>7888725.774090416</t>
  </si>
  <si>
    <t>8353576.516814032</t>
  </si>
  <si>
    <t>7635974.338181822</t>
  </si>
  <si>
    <t>7676626.467275415</t>
  </si>
  <si>
    <t>182.57986398299633</t>
  </si>
  <si>
    <t>166.89559893737726</t>
  </si>
  <si>
    <t>167.7841118019674</t>
  </si>
  <si>
    <t>2569663.8499999894</t>
  </si>
  <si>
    <t>2903325.150900004</t>
  </si>
  <si>
    <t>148909736.44256687</t>
  </si>
  <si>
    <t>10223160.658209141</t>
  </si>
  <si>
    <t>10831239.12711435</t>
  </si>
  <si>
    <t>9984722.96067155</t>
  </si>
  <si>
    <t>9853519.88684151</t>
  </si>
  <si>
    <t>256.43959388958376</t>
  </si>
  <si>
    <t>236.39754150795628</t>
  </si>
  <si>
    <t>233.2911875095653</t>
  </si>
  <si>
    <t>3221178.8399999933</t>
  </si>
  <si>
    <t>3902432.4200000046</t>
  </si>
  <si>
    <t>182021617.26396656</t>
  </si>
  <si>
    <t>7950724.513196604</t>
  </si>
  <si>
    <t>7641445.697475821</t>
  </si>
  <si>
    <t>7093727.654070284</t>
  </si>
  <si>
    <t>9117000.188043982</t>
  </si>
  <si>
    <t>34.925138588522685</t>
  </si>
  <si>
    <t>32.42179964839363</t>
  </si>
  <si>
    <t>41.6691432073127</t>
  </si>
  <si>
    <t>2838953.7299999306</t>
  </si>
  <si>
    <t>2270543.2000000207</t>
  </si>
  <si>
    <t>154458208.40478516</t>
  </si>
  <si>
    <t>10216782.901017398</t>
  </si>
  <si>
    <t>10860730.353488535</t>
  </si>
  <si>
    <t>10014450.667296251</t>
  </si>
  <si>
    <t>9775167.682267431</t>
  </si>
  <si>
    <t>401.6245230932821</t>
  </si>
  <si>
    <t>370.3295121402356</t>
  </si>
  <si>
    <t>361.4809438010292</t>
  </si>
  <si>
    <t>3135129.4599999967</t>
  </si>
  <si>
    <t>4237208.170900004</t>
  </si>
  <si>
    <t>159510577.1815815</t>
  </si>
  <si>
    <t>8044738.216221655</t>
  </si>
  <si>
    <t>8150145.728720957</t>
  </si>
  <si>
    <t>7487689.309563681</t>
  </si>
  <si>
    <t>8496379.610380378</t>
  </si>
  <si>
    <t>62.27427490904265</t>
  </si>
  <si>
    <t>57.212525765529556</t>
  </si>
  <si>
    <t>64.9198060009962</t>
  </si>
  <si>
    <t>2876074.5799999586</t>
  </si>
  <si>
    <t>2564294.230000015</t>
  </si>
  <si>
    <t>157430057.0022459</t>
  </si>
  <si>
    <t>7014537.954391108</t>
  </si>
  <si>
    <t>7262150.354926575</t>
  </si>
  <si>
    <t>6642951.291631784</t>
  </si>
  <si>
    <t>7138512.216615021</t>
  </si>
  <si>
    <t>89.61413602170062</t>
  </si>
  <si>
    <t>81.9732877370096</t>
  </si>
  <si>
    <t>88.08845500401073</t>
  </si>
  <si>
    <t>2455785.599999979</t>
  </si>
  <si>
    <t>2376353.7918000077</t>
  </si>
  <si>
    <t>135638407.56681156</t>
  </si>
  <si>
    <t>12618804.646713559</t>
  </si>
  <si>
    <t>13608147.516070653</t>
  </si>
  <si>
    <t>12464911.135637274</t>
  </si>
  <si>
    <t>11783355.288432796</t>
  </si>
  <si>
    <t>862.9683249458211</t>
  </si>
  <si>
    <t>790.4693471772005</t>
  </si>
  <si>
    <t>747.248099970372</t>
  </si>
  <si>
    <t>3880020.5599999954</t>
  </si>
  <si>
    <t>6521557.590900001</t>
  </si>
  <si>
    <t>177862802.08983612</t>
  </si>
  <si>
    <t>-83854.80247368911</t>
  </si>
  <si>
    <t>-69564.81300204711</t>
  </si>
  <si>
    <t>-95592.8404482147</t>
  </si>
  <si>
    <t>-86406.7539708054</t>
  </si>
  <si>
    <t>-5.280061707935265</t>
  </si>
  <si>
    <t>-7.255623563431856</t>
  </si>
  <si>
    <t>-6.558387398163597</t>
  </si>
  <si>
    <t>10161.050000000001</t>
  </si>
  <si>
    <t>5232.19</t>
  </si>
  <si>
    <t>738281714.5837822</t>
  </si>
  <si>
    <t>5035099.0955808945</t>
  </si>
  <si>
    <t>4711457.955478606</t>
  </si>
  <si>
    <t>4180101.2409184445</t>
  </si>
  <si>
    <t>6213738.0903482605</t>
  </si>
  <si>
    <t>3.16858300260376</t>
  </si>
  <si>
    <t>2.811231229546565</t>
  </si>
  <si>
    <t>4.178907056320955</t>
  </si>
  <si>
    <t>1911790.3104999508</t>
  </si>
  <si>
    <t>435799.9166999934</t>
  </si>
  <si>
    <t>153193721.30061722</t>
  </si>
  <si>
    <t>17446342.17724108</t>
  </si>
  <si>
    <t>17227179.78701487</t>
  </si>
  <si>
    <t>14747897.028133854</t>
  </si>
  <si>
    <t>20363949.71657523</t>
  </si>
  <si>
    <t>16.886858919215914</t>
  </si>
  <si>
    <t>14.456554093487794</t>
  </si>
  <si>
    <t>19.96166233552735</t>
  </si>
  <si>
    <t>8901155.191899214</t>
  </si>
  <si>
    <t>2433332.9072000855</t>
  </si>
  <si>
    <t>212240936.03186893</t>
  </si>
  <si>
    <t>63764349.32172124</t>
  </si>
  <si>
    <t>66940309.19411697</t>
  </si>
  <si>
    <t>58936955.24374597</t>
  </si>
  <si>
    <t>65415783.52730121</t>
  </si>
  <si>
    <t>117.56660588869507</t>
  </si>
  <si>
    <t>103.51039415321519</t>
  </si>
  <si>
    <t>114.88909647179084</t>
  </si>
  <si>
    <t>30373395.772700243</t>
  </si>
  <si>
    <t>17392368.804399665</t>
  </si>
  <si>
    <t>600540098.0166578</t>
  </si>
  <si>
    <t>61834862.10566656</t>
  </si>
  <si>
    <t>65113583.740151465</t>
  </si>
  <si>
    <t>57506775.13811219</t>
  </si>
  <si>
    <t>62884227.43873653</t>
  </si>
  <si>
    <t>144.28356051255727</t>
  </si>
  <si>
    <t>127.42782371853112</t>
  </si>
  <si>
    <t>139.34358568176165</t>
  </si>
  <si>
    <t>28581776.874300268</t>
  </si>
  <si>
    <t>17838736.303199768</t>
  </si>
  <si>
    <t>589630158.093255</t>
  </si>
  <si>
    <t>113985284.14642581</t>
  </si>
  <si>
    <t>120542083.04047018</t>
  </si>
  <si>
    <t>106759505.97239277</t>
  </si>
  <si>
    <t>114654263.42641447</t>
  </si>
  <si>
    <t>183.26484161178777</t>
  </si>
  <si>
    <t>162.3106508456016</t>
  </si>
  <si>
    <t>174.3133592597993</t>
  </si>
  <si>
    <t>51019354.343300916</t>
  </si>
  <si>
    <t>34985084.69829931</t>
  </si>
  <si>
    <t>1090680250.325348</t>
  </si>
  <si>
    <t>187181669.57221243</t>
  </si>
  <si>
    <t>198760599.13328937</t>
  </si>
  <si>
    <t>176979732.20733872</t>
  </si>
  <si>
    <t>185804677.37600994</t>
  </si>
  <si>
    <t>259.4078105755602</t>
  </si>
  <si>
    <t>230.9810145891509</t>
  </si>
  <si>
    <t>242.49868818561245</t>
  </si>
  <si>
    <t>79215928.36840007</t>
  </si>
  <si>
    <t>63095998.82699905</t>
  </si>
  <si>
    <t>1795577618.2078238</t>
  </si>
  <si>
    <t>46891097.679257154</t>
  </si>
  <si>
    <t>47878270.350446075</t>
  </si>
  <si>
    <t>41269253.53478788</t>
  </si>
  <si>
    <t>51525769.1525367</t>
  </si>
  <si>
    <t>37.647785754064955</t>
  </si>
  <si>
    <t>32.450963744838084</t>
  </si>
  <si>
    <t>40.51589799860089</t>
  </si>
  <si>
    <t>25013065.815801535</t>
  </si>
  <si>
    <t>8564343.421199968</t>
  </si>
  <si>
    <t>465636459.95267487</t>
  </si>
  <si>
    <t>245427045.5858862</t>
  </si>
  <si>
    <t>262407511.9915378</t>
  </si>
  <si>
    <t>234154680.01126537</t>
  </si>
  <si>
    <t>239718944.7548569</t>
  </si>
  <si>
    <t>408.5486227316202</t>
  </si>
  <si>
    <t>364.5611030672426</t>
  </si>
  <si>
    <t>373.224241863291</t>
  </si>
  <si>
    <t>95652846.51690088</t>
  </si>
  <si>
    <t>94160494.41050036</t>
  </si>
  <si>
    <t>2319427618.1478567</t>
  </si>
  <si>
    <t>59112367.13604126</t>
  </si>
  <si>
    <t>61361167.116570234</t>
  </si>
  <si>
    <t>53358909.63364193</t>
  </si>
  <si>
    <t>62617024.657911345</t>
  </si>
  <si>
    <t>64.28275400326461</t>
  </si>
  <si>
    <t>55.89948534299574</t>
  </si>
  <si>
    <t>65.59840664135426</t>
  </si>
  <si>
    <t>30455921.81780105</t>
  </si>
  <si>
    <t>13345529.262199527</t>
  </si>
  <si>
    <t>563838956.3705654</t>
  </si>
  <si>
    <t>63575270.34810583</t>
  </si>
  <si>
    <t>66543348.653693154</t>
  </si>
  <si>
    <t>58266462.91572948</t>
  </si>
  <si>
    <t>65915999.47489479</t>
  </si>
  <si>
    <t>91.03368604082651</t>
  </si>
  <si>
    <t>79.71060968669171</t>
  </si>
  <si>
    <t>90.17544987844289</t>
  </si>
  <si>
    <t>31462335.576800678</t>
  </si>
  <si>
    <t>16112910.09289955</t>
  </si>
  <si>
    <t>600279360.3176003</t>
  </si>
  <si>
    <t>384672373.5671944</t>
  </si>
  <si>
    <t>417196977.31672055</t>
  </si>
  <si>
    <t>370897112.0368557</t>
  </si>
  <si>
    <t>365923031.3479985</t>
  </si>
  <si>
    <t>883.9967820688906</t>
  </si>
  <si>
    <t>785.8922076281417</t>
  </si>
  <si>
    <t>775.3526506280374</t>
  </si>
  <si>
    <t>143683641.2978999</t>
  </si>
  <si>
    <t>185905318.69390047</t>
  </si>
  <si>
    <t>3666243222.208828</t>
  </si>
  <si>
    <t>-238708.37182445027</t>
  </si>
  <si>
    <t>-281847.09724168514</t>
  </si>
  <si>
    <t>-226870.52842946036</t>
  </si>
  <si>
    <t>-207407.4898022052</t>
  </si>
  <si>
    <t>-17.44859142213119</t>
  </si>
  <si>
    <t>-14.045101741438765</t>
  </si>
  <si>
    <t>-12.840183854528894</t>
  </si>
  <si>
    <t>98567.95299999998</t>
  </si>
  <si>
    <t>19369.350000000006</t>
  </si>
  <si>
    <t>3360846.8789453506</t>
  </si>
  <si>
    <t>7508578.726277695</t>
  </si>
  <si>
    <t>12811655.871401364</t>
  </si>
  <si>
    <t>6590991.758908621</t>
  </si>
  <si>
    <t>3123088.548550954</t>
  </si>
  <si>
    <t>4.145757739576308</t>
  </si>
  <si>
    <t>2.1327965229673516</t>
  </si>
  <si>
    <t>1.0106085155190034</t>
  </si>
  <si>
    <t>6538204.989994494</t>
  </si>
  <si>
    <t>3068311.0100008287</t>
  </si>
  <si>
    <t>1038441127.5381393</t>
  </si>
  <si>
    <t>17668521.861553974</t>
  </si>
  <si>
    <t>27965740.581564724</t>
  </si>
  <si>
    <t>16572148.59284529</t>
  </si>
  <si>
    <t>8467676.410271453</t>
  </si>
  <si>
    <t>23.010120055559124</t>
  </si>
  <si>
    <t>13.635509761944574</t>
  </si>
  <si>
    <t>6.967176507401841</t>
  </si>
  <si>
    <t>11569070.56000247</t>
  </si>
  <si>
    <t>7874999.5800006045</t>
  </si>
  <si>
    <t>666784951.6728964</t>
  </si>
  <si>
    <t>8180512.827341795</t>
  </si>
  <si>
    <t>12559208.315112464</t>
  </si>
  <si>
    <t>9014215.862084812</t>
  </si>
  <si>
    <t>2968114.3048283127</t>
  </si>
  <si>
    <t>171.12036835589373</t>
  </si>
  <si>
    <t>122.81952015266658</t>
  </si>
  <si>
    <t>40.440830378890816</t>
  </si>
  <si>
    <t>5162758.299999939</t>
  </si>
  <si>
    <t>3744558.4609000282</t>
  </si>
  <si>
    <t>240117623.38959122</t>
  </si>
  <si>
    <t>6389108.338938681</t>
  </si>
  <si>
    <t>9710413.13220021</t>
  </si>
  <si>
    <t>7095337.276531128</t>
  </si>
  <si>
    <t>2361574.6080847573</t>
  </si>
  <si>
    <t>207.62498946311038</t>
  </si>
  <si>
    <t>151.71026270673156</t>
  </si>
  <si>
    <t>50.494443073077406</t>
  </si>
  <si>
    <t>3872358.7499999846</t>
  </si>
  <si>
    <t>3007234.8700000076</t>
  </si>
  <si>
    <t>183320504.12676907</t>
  </si>
  <si>
    <t>8958342.87237716</t>
  </si>
  <si>
    <t>13464892.583273577</t>
  </si>
  <si>
    <t>10060386.47478993</t>
  </si>
  <si>
    <t>3349749.559068064</t>
  </si>
  <si>
    <t>258.2845964719093</t>
  </si>
  <si>
    <t>192.9791006443246</t>
  </si>
  <si>
    <t>64.25515152052606</t>
  </si>
  <si>
    <t>5242872.959999962</t>
  </si>
  <si>
    <t>4359831.430000012</t>
  </si>
  <si>
    <t>247742616.63917065</t>
  </si>
  <si>
    <t>10127407.345004736</t>
  </si>
  <si>
    <t>14908437.71284032</t>
  </si>
  <si>
    <t>11624216.223342456</t>
  </si>
  <si>
    <t>3849568.0988315847</t>
  </si>
  <si>
    <t>354.1785501826983</t>
  </si>
  <si>
    <t>276.1555656128681</t>
  </si>
  <si>
    <t>91.4538782893019</t>
  </si>
  <si>
    <t>5664973.859999969</t>
  </si>
  <si>
    <t>5167019.450000012</t>
  </si>
  <si>
    <t>261458300.79828358</t>
  </si>
  <si>
    <t>19509109.854399268</t>
  </si>
  <si>
    <t>32752873.89818984</t>
  </si>
  <si>
    <t>19045509.42689067</t>
  </si>
  <si>
    <t>6728946.238121933</t>
  </si>
  <si>
    <t>59.59434621766465</t>
  </si>
  <si>
    <t>34.65359058890545</t>
  </si>
  <si>
    <t>12.243418792536955</t>
  </si>
  <si>
    <t>14776971.8900024</t>
  </si>
  <si>
    <t>9254108.370000046</t>
  </si>
  <si>
    <t>620983648.7200394</t>
  </si>
  <si>
    <t>8320106.3396346625</t>
  </si>
  <si>
    <t>11996062.910370322</t>
  </si>
  <si>
    <t>9618587.350592652</t>
  </si>
  <si>
    <t>3345668.757941067</t>
  </si>
  <si>
    <t>540.8992204152909</t>
  </si>
  <si>
    <t>433.69949276727624</t>
  </si>
  <si>
    <t>150.8552961466799</t>
  </si>
  <si>
    <t>4395544.779999984</t>
  </si>
  <si>
    <t>4697774.060000003</t>
  </si>
  <si>
    <t>191263682.86850452</t>
  </si>
  <si>
    <t>14786820.080210166</t>
  </si>
  <si>
    <t>23837047.59734327</t>
  </si>
  <si>
    <t>15399104.1898993</t>
  </si>
  <si>
    <t>5124308.4533888325</t>
  </si>
  <si>
    <t>98.43958718534155</t>
  </si>
  <si>
    <t>63.5935072616418</t>
  </si>
  <si>
    <t>21.16179894770919</t>
  </si>
  <si>
    <t>10226997.479999967</t>
  </si>
  <si>
    <t>6851888.100900117</t>
  </si>
  <si>
    <t>461224183.33296585</t>
  </si>
  <si>
    <t>10937544.208987921</t>
  </si>
  <si>
    <t>17174269.806418743</t>
  </si>
  <si>
    <t>11785026.317004448</t>
  </si>
  <si>
    <t>3853336.503540898</t>
  </si>
  <si>
    <t>135.45551906252706</t>
  </si>
  <si>
    <t>92.94991140402124</t>
  </si>
  <si>
    <t>30.391725650812752</t>
  </si>
  <si>
    <t>7155610.309999771</t>
  </si>
  <si>
    <t>5054938.900900038</t>
  </si>
  <si>
    <t>332549288.38379765</t>
  </si>
  <si>
    <t>7941731.655558646</t>
  </si>
  <si>
    <t>10642589.511318654</t>
  </si>
  <si>
    <t>9643798.743086647</t>
  </si>
  <si>
    <t>3538806.7122706454</t>
  </si>
  <si>
    <t>1077.9489021896743</t>
  </si>
  <si>
    <t>976.7850443721916</t>
  </si>
  <si>
    <t>358.4327673726978</t>
  </si>
  <si>
    <t>3459536.1099999975</t>
  </si>
  <si>
    <t>4926135.6899999995</t>
  </si>
  <si>
    <t>150650636.22136497</t>
  </si>
  <si>
    <t>-177441.13084585365</t>
  </si>
  <si>
    <t>-257911.31543013605</t>
  </si>
  <si>
    <t>-185036.9099970256</t>
  </si>
  <si>
    <t>-89375.16711040362</t>
  </si>
  <si>
    <t>-2.9949638904968476</t>
  </si>
  <si>
    <t>-2.1487186900891317</t>
  </si>
  <si>
    <t>-1.0378582954236035</t>
  </si>
  <si>
    <t>42069.22999999988</t>
  </si>
  <si>
    <t>10654.890000000003</t>
  </si>
  <si>
    <t>435975425.37522316</t>
  </si>
  <si>
    <t>2900096.0161916595</t>
  </si>
  <si>
    <t>2371502.6986700585</t>
  </si>
  <si>
    <t>2593532.5618281965</t>
  </si>
  <si>
    <t>3735252.788077783</t>
  </si>
  <si>
    <t>2.3311642327859308</t>
  </si>
  <si>
    <t>2.5494174424048235</t>
  </si>
  <si>
    <t>3.6717173903550786</t>
  </si>
  <si>
    <t>870621.5900000149</t>
  </si>
  <si>
    <t>389609.9199999933</t>
  </si>
  <si>
    <t>820031226.284627</t>
  </si>
  <si>
    <t>8418495.42833524</t>
  </si>
  <si>
    <t>7600915.8796449695</t>
  </si>
  <si>
    <t>7945642.923304602</t>
  </si>
  <si>
    <t>9708927.482057326</t>
  </si>
  <si>
    <t>15.177668910384607</t>
  </si>
  <si>
    <t>15.866027131415988</t>
  </si>
  <si>
    <t>19.38699087464222</t>
  </si>
  <si>
    <t>3006978.389999806</t>
  </si>
  <si>
    <t>1782134.110000045</t>
  </si>
  <si>
    <t>138602208.2285776</t>
  </si>
  <si>
    <t>17794270.37408487</t>
  </si>
  <si>
    <t>17567542.311305415</t>
  </si>
  <si>
    <t>18801753.36596782</t>
  </si>
  <si>
    <t>17013515.444981515</t>
  </si>
  <si>
    <t>110.35512253397124</t>
  </si>
  <si>
    <t>118.10814283450586</t>
  </si>
  <si>
    <t>106.8748575295181</t>
  </si>
  <si>
    <t>5704854.3399998825</t>
  </si>
  <si>
    <t>5940141.330000058</t>
  </si>
  <si>
    <t>260195523.17420483</t>
  </si>
  <si>
    <t>15736025.160752652</t>
  </si>
  <si>
    <t>15612570.494789917</t>
  </si>
  <si>
    <t>16670869.28198072</t>
  </si>
  <si>
    <t>14924635.705487251</t>
  </si>
  <si>
    <t>135.79808900477448</t>
  </si>
  <si>
    <t>145.00316852352128</t>
  </si>
  <si>
    <t>129.81443437350288</t>
  </si>
  <si>
    <t>4923004.899999956</t>
  </si>
  <si>
    <t>5345512.290900023</t>
  </si>
  <si>
    <t>229108630.7272339</t>
  </si>
  <si>
    <t>25938446.784595884</t>
  </si>
  <si>
    <t>25981154.159937944</t>
  </si>
  <si>
    <t>27496918.735499904</t>
  </si>
  <si>
    <t>24337267.458349656</t>
  </si>
  <si>
    <t>172.98857553723911</t>
  </si>
  <si>
    <t>183.08088911045945</t>
  </si>
  <si>
    <t>162.0431950086534</t>
  </si>
  <si>
    <t>7894028.739999879</t>
  </si>
  <si>
    <t>9112701.963600013</t>
  </si>
  <si>
    <t>373660679.87136555</t>
  </si>
  <si>
    <t>36483006.89043735</t>
  </si>
  <si>
    <t>36655222.155405946</t>
  </si>
  <si>
    <t>38782599.25439186</t>
  </si>
  <si>
    <t>34011199.261514656</t>
  </si>
  <si>
    <t>243.99889604003238</t>
  </si>
  <si>
    <t>258.1599795934942</t>
  </si>
  <si>
    <t>226.39871169306886</t>
  </si>
  <si>
    <t>10737049.920000007</t>
  </si>
  <si>
    <t>13231840.212699939</t>
  </si>
  <si>
    <t>507516113.41965294</t>
  </si>
  <si>
    <t>19042987.881572787</t>
  </si>
  <si>
    <t>17969454.593522478</t>
  </si>
  <si>
    <t>19179897.313098375</t>
  </si>
  <si>
    <t>19979611.73809816</t>
  </si>
  <si>
    <t>34.45011309934372</t>
  </si>
  <si>
    <t>36.77071155560953</t>
  </si>
  <si>
    <t>38.30388287391712</t>
  </si>
  <si>
    <t>6818997.629999188</t>
  </si>
  <si>
    <t>5078758.140000143</t>
  </si>
  <si>
    <t>281695252.30373573</t>
  </si>
  <si>
    <t>40417610.78887269</t>
  </si>
  <si>
    <t>40854707.27603404</t>
  </si>
  <si>
    <t>43120335.27667789</t>
  </si>
  <si>
    <t>37277789.813906334</t>
  </si>
  <si>
    <t>383.69153511555476</t>
  </si>
  <si>
    <t>404.96943290330296</t>
  </si>
  <si>
    <t>350.0985162559997</t>
  </si>
  <si>
    <t>11512019.640000023</t>
  </si>
  <si>
    <t>15522625.909999952</t>
  </si>
  <si>
    <t>498597800.8668108</t>
  </si>
  <si>
    <t>20873168.145949688</t>
  </si>
  <si>
    <t>20188958.25417071</t>
  </si>
  <si>
    <t>21674144.976916395</t>
  </si>
  <si>
    <t>20756401.20676233</t>
  </si>
  <si>
    <t>59.62762048463811</t>
  </si>
  <si>
    <t>64.01408506283934</t>
  </si>
  <si>
    <t>61.30355009912556</t>
  </si>
  <si>
    <t>7138535.639999598</t>
  </si>
  <si>
    <t>6397405.40090009</t>
  </si>
  <si>
    <t>310836519.3606348</t>
  </si>
  <si>
    <t>19823528.782434363</t>
  </si>
  <si>
    <t>19385032.96910372</t>
  </si>
  <si>
    <t>20837253.480348088</t>
  </si>
  <si>
    <t>19248299.897851013</t>
  </si>
  <si>
    <t>84.81747087772357</t>
  </si>
  <si>
    <t>91.17153130758297</t>
  </si>
  <si>
    <t>84.21920760381104</t>
  </si>
  <si>
    <t>6562354.229999789</t>
  </si>
  <si>
    <t>6387990.411800062</t>
  </si>
  <si>
    <t>290769002.12493706</t>
  </si>
  <si>
    <t>57669260.151524074</t>
  </si>
  <si>
    <t>58668258.409171455</t>
  </si>
  <si>
    <t>61801807.32381596</t>
  </si>
  <si>
    <t>52537714.72158546</t>
  </si>
  <si>
    <t>834.1260881377899</t>
  </si>
  <si>
    <t>878.6778605788861</t>
  </si>
  <si>
    <t>746.9640253299988</t>
  </si>
  <si>
    <t>17086159.440000102</t>
  </si>
  <si>
    <t>26057002.27179995</t>
  </si>
  <si>
    <t>628408421.5332947</t>
  </si>
  <si>
    <t>-82615.3925384224</t>
  </si>
  <si>
    <t>-89960.70759033319</t>
  </si>
  <si>
    <t>-91325.86634875547</t>
  </si>
  <si>
    <t>-66559.60367617843</t>
  </si>
  <si>
    <t>-4.104046879121039</t>
  </si>
  <si>
    <t>-4.166326019560012</t>
  </si>
  <si>
    <t>-3.036478269898651</t>
  </si>
  <si>
    <t>14678.819999999996</t>
  </si>
  <si>
    <t>7165.41</t>
  </si>
  <si>
    <t>1201030363.8560858</t>
  </si>
  <si>
    <t>3943461.103154151</t>
  </si>
  <si>
    <t>2601345.6765315114</t>
  </si>
  <si>
    <t>3253457.034079331</t>
  </si>
  <si>
    <t>5975580.598856854</t>
  </si>
  <si>
    <t>1.7639817675118628</t>
  </si>
  <si>
    <t>2.2061808014501456</t>
  </si>
  <si>
    <t>4.052062485111798</t>
  </si>
  <si>
    <t>1014396.4499999915</t>
  </si>
  <si>
    <t>573982.60999999</t>
  </si>
  <si>
    <t>897121306.4364815</t>
  </si>
  <si>
    <t>9855553.801060377</t>
  </si>
  <si>
    <t>7388413.382595503</t>
  </si>
  <si>
    <t>8804309.91321219</t>
  </si>
  <si>
    <t>13373938.107376814</t>
  </si>
  <si>
    <t>12.267895019054194</t>
  </si>
  <si>
    <t>14.618882855815782</t>
  </si>
  <si>
    <t>22.20640077870011</t>
  </si>
  <si>
    <t>2950607.669999739</t>
  </si>
  <si>
    <t>1898464.890000048</t>
  </si>
  <si>
    <t>162546502.33805084</t>
  </si>
  <si>
    <t>12915270.471167304</t>
  </si>
  <si>
    <t>11929302.480100114</t>
  </si>
  <si>
    <t>13734548.636332862</t>
  </si>
  <si>
    <t>13081960.297069017</t>
  </si>
  <si>
    <t>103.11794409090221</t>
  </si>
  <si>
    <t>118.72265128306677</t>
  </si>
  <si>
    <t>113.081620049695</t>
  </si>
  <si>
    <t>4390774.619999944</t>
  </si>
  <si>
    <t>3821152.7109000287</t>
  </si>
  <si>
    <t>219078804.57221413</t>
  </si>
  <si>
    <t>10899487.211206745</t>
  </si>
  <si>
    <t>10211384.229217395</t>
  </si>
  <si>
    <t>11640290.776333697</t>
  </si>
  <si>
    <t>10846786.62806923</t>
  </si>
  <si>
    <t>128.10508247566077</t>
  </si>
  <si>
    <t>146.0311723141561</t>
  </si>
  <si>
    <t>136.07640887793693</t>
  </si>
  <si>
    <t>3708517.819999978</t>
  </si>
  <si>
    <t>3304121.6300000115</t>
  </si>
  <si>
    <t>189716233.64909363</t>
  </si>
  <si>
    <t>16751772.97278082</t>
  </si>
  <si>
    <t>15910148.659568993</t>
  </si>
  <si>
    <t>17931791.515398756</t>
  </si>
  <si>
    <t>16413378.74337508</t>
  </si>
  <si>
    <t>163.7351925447051</t>
  </si>
  <si>
    <t>184.5404087207858</t>
  </si>
  <si>
    <t>168.9140551957917</t>
  </si>
  <si>
    <t>5659846.939999934</t>
  </si>
  <si>
    <t>5224125.67090002</t>
  </si>
  <si>
    <t>288646082.39614487</t>
  </si>
  <si>
    <t>21038180.20477381</t>
  </si>
  <si>
    <t>20445419.026972275</t>
  </si>
  <si>
    <t>22579082.465280697</t>
  </si>
  <si>
    <t>20090039.1220684</t>
  </si>
  <si>
    <t>235.0102189357488</t>
  </si>
  <si>
    <t>259.5356498457516</t>
  </si>
  <si>
    <t>230.92529853638476</t>
  </si>
  <si>
    <t>7136332.379999932</t>
  </si>
  <si>
    <t>6985404.421800025</t>
  </si>
  <si>
    <t>354833671.6933851</t>
  </si>
  <si>
    <t>18334328.28548099</t>
  </si>
  <si>
    <t>15132281.852927871</t>
  </si>
  <si>
    <t>18175787.29550828</t>
  </si>
  <si>
    <t>21694915.708009273</t>
  </si>
  <si>
    <t>29.847004118241543</t>
  </si>
  <si>
    <t>35.85003263446046</t>
  </si>
  <si>
    <t>42.79118276907913</t>
  </si>
  <si>
    <t>5986921.089999262</t>
  </si>
  <si>
    <t>4346728.810000156</t>
  </si>
  <si>
    <t>298284019.535697</t>
  </si>
  <si>
    <t>20312253.216574516</t>
  </si>
  <si>
    <t>19989942.504409574</t>
  </si>
  <si>
    <t>21941810.615918532</t>
  </si>
  <si>
    <t>19005006.529395513</t>
  </si>
  <si>
    <t>371.1945946262896</t>
  </si>
  <si>
    <t>407.438965627143</t>
  </si>
  <si>
    <t>352.90525187817786</t>
  </si>
  <si>
    <t>6825612.509999981</t>
  </si>
  <si>
    <t>7293541.070900003</t>
  </si>
  <si>
    <t>309665152.8168917</t>
  </si>
  <si>
    <t>17608638.493165992</t>
  </si>
  <si>
    <t>15381084.878420526</t>
  </si>
  <si>
    <t>18192295.78430645</t>
  </si>
  <si>
    <t>19252534.816772144</t>
  </si>
  <si>
    <t>53.66986247952812</t>
  </si>
  <si>
    <t>63.47913821738757</t>
  </si>
  <si>
    <t>67.17867459714553</t>
  </si>
  <si>
    <t>5893172.269999699</t>
  </si>
  <si>
    <t>4754001.220000062</t>
  </si>
  <si>
    <t>293966336.8824463</t>
  </si>
  <si>
    <t>15269205.460808886</t>
  </si>
  <si>
    <t>13791610.366048645</t>
  </si>
  <si>
    <t>16063351.859888542</t>
  </si>
  <si>
    <t>15952654.156489585</t>
  </si>
  <si>
    <t>78.20013475643216</t>
  </si>
  <si>
    <t>91.0811897046917</t>
  </si>
  <si>
    <t>90.45352004949783</t>
  </si>
  <si>
    <t>5182517.989999873</t>
  </si>
  <si>
    <t>4356700.580900047</t>
  </si>
  <si>
    <t>258279548.99973106</t>
  </si>
  <si>
    <t>22847255.801305316</t>
  </si>
  <si>
    <t>22714563.52633169</t>
  </si>
  <si>
    <t>24515701.36367047</t>
  </si>
  <si>
    <t>21311502.5139139</t>
  </si>
  <si>
    <t>789.8245254122775</t>
  </si>
  <si>
    <t>852.4531925195754</t>
  </si>
  <si>
    <t>741.037675646368</t>
  </si>
  <si>
    <t>7951404.179999965</t>
  </si>
  <si>
    <t>9811075.379999995</t>
  </si>
  <si>
    <t>310906004.49943256</t>
  </si>
  <si>
    <t>-126922.29298704589</t>
  </si>
  <si>
    <t>-130868.77866233687</t>
  </si>
  <si>
    <t>-139770.58961757543</t>
  </si>
  <si>
    <t>-110127.51068122646</t>
  </si>
  <si>
    <t>-5.473390993824211</t>
  </si>
  <si>
    <t>-5.845695927125698</t>
  </si>
  <si>
    <t>-4.605918472656899</t>
  </si>
  <si>
    <t>14034.089999999991</t>
  </si>
  <si>
    <t>6082.4</t>
  </si>
  <si>
    <t>1106403104.7914457</t>
  </si>
  <si>
    <t>2116631.074086625</t>
  </si>
  <si>
    <t>1499969.697108246</t>
  </si>
  <si>
    <t>1800310.1589811288</t>
  </si>
  <si>
    <t>3049613.36617057</t>
  </si>
  <si>
    <t>1.932201165666727</t>
  </si>
  <si>
    <t>2.3190877752072057</t>
  </si>
  <si>
    <t>3.928390361690336</t>
  </si>
  <si>
    <t>584924.150000017</t>
  </si>
  <si>
    <t>266377.73000000016</t>
  </si>
  <si>
    <t>347770150.1392813</t>
  </si>
  <si>
    <t>5465384.617112998</t>
  </si>
  <si>
    <t>4439657.347143072</t>
  </si>
  <si>
    <t>4995142.278053671</t>
  </si>
  <si>
    <t>6961354.22614324</t>
  </si>
  <si>
    <t>13.478094424201336</t>
  </si>
  <si>
    <t>15.1644584303902</t>
  </si>
  <si>
    <t>21.1335655533526</t>
  </si>
  <si>
    <t>1727781.169999935</t>
  </si>
  <si>
    <t>1095932.9609000026</t>
  </si>
  <si>
    <t>89298964.8791933</t>
  </si>
  <si>
    <t>8054053.703807769</t>
  </si>
  <si>
    <t>7647108.730217447</t>
  </si>
  <si>
    <t>8466379.061733257</t>
  </si>
  <si>
    <t>8048673.319472565</t>
  </si>
  <si>
    <t>106.03753248495427</t>
  </si>
  <si>
    <t>117.39782661138507</t>
  </si>
  <si>
    <t>111.60577006077021</t>
  </si>
  <si>
    <t>2627015.689999987</t>
  </si>
  <si>
    <t>2471292.8609000063</t>
  </si>
  <si>
    <t>132571685.20550251</t>
  </si>
  <si>
    <t>6841698.738782941</t>
  </si>
  <si>
    <t>6555572.093892325</t>
  </si>
  <si>
    <t>7233587.819079081</t>
  </si>
  <si>
    <t>6735936.303377424</t>
  </si>
  <si>
    <t>131.0642587446984</t>
  </si>
  <si>
    <t>144.6196932919965</t>
  </si>
  <si>
    <t>134.6702447794279</t>
  </si>
  <si>
    <t>2223711.8199999887</t>
  </si>
  <si>
    <t>2137269.660000004</t>
  </si>
  <si>
    <t>112662876.73821354</t>
  </si>
  <si>
    <t>10663833.840314366</t>
  </si>
  <si>
    <t>10362572.121922057</t>
  </si>
  <si>
    <t>11317291.291962298</t>
  </si>
  <si>
    <t>10311638.10705886</t>
  </si>
  <si>
    <t>167.64389565175702</t>
  </si>
  <si>
    <t>183.0891769039247</t>
  </si>
  <si>
    <t>166.81989398765407</t>
  </si>
  <si>
    <t>3417696.8099999777</t>
  </si>
  <si>
    <t>3455260.050000008</t>
  </si>
  <si>
    <t>174021213.40667152</t>
  </si>
  <si>
    <t>14046853.480978956</t>
  </si>
  <si>
    <t>13771290.746489856</t>
  </si>
  <si>
    <t>14953977.43466295</t>
  </si>
  <si>
    <t>13415292.26178416</t>
  </si>
  <si>
    <t>237.26014758868178</t>
  </si>
  <si>
    <t>257.636191007752</t>
  </si>
  <si>
    <t>231.12678982451217</t>
  </si>
  <si>
    <t>4421322.409999983</t>
  </si>
  <si>
    <t>4729919.190000016</t>
  </si>
  <si>
    <t>225957829.32603168</t>
  </si>
  <si>
    <t>10913635.923740754</t>
  </si>
  <si>
    <t>9536742.587578494</t>
  </si>
  <si>
    <t>10861988.905246677</t>
  </si>
  <si>
    <t>12342176.278397795</t>
  </si>
  <si>
    <t>31.696798618619404</t>
  </si>
  <si>
    <t>36.101454114502005</t>
  </si>
  <si>
    <t>41.02107951633506</t>
  </si>
  <si>
    <t>3609453.459999881</t>
  </si>
  <si>
    <t>2737157.2300000456</t>
  </si>
  <si>
    <t>171021108.20490456</t>
  </si>
  <si>
    <t>14029461.061704999</t>
  </si>
  <si>
    <t>13879824.065098424</t>
  </si>
  <si>
    <t>15032057.67878481</t>
  </si>
  <si>
    <t>13176501.44123176</t>
  </si>
  <si>
    <t>374.1394162784631</t>
  </si>
  <si>
    <t>405.1986004308806</t>
  </si>
  <si>
    <t>355.1809111335317</t>
  </si>
  <si>
    <t>4356319.609999986</t>
  </si>
  <si>
    <t>5103992.300000013</t>
  </si>
  <si>
    <t>203938947.0337305</t>
  </si>
  <si>
    <t>10789422.680869702</t>
  </si>
  <si>
    <t>9852816.330739541</t>
  </si>
  <si>
    <t>11129220.724161265</t>
  </si>
  <si>
    <t>11386230.987708602</t>
  </si>
  <si>
    <t>56.1497220713014</t>
  </si>
  <si>
    <t>63.42375921311001</t>
  </si>
  <si>
    <t>64.8884221463499</t>
  </si>
  <si>
    <t>3595122.1799999233</t>
  </si>
  <si>
    <t>3047015.5500000347</t>
  </si>
  <si>
    <t>174332034.09496403</t>
  </si>
  <si>
    <t>9529549.12779552</t>
  </si>
  <si>
    <t>8918872.399125636</t>
  </si>
  <si>
    <t>9969536.98533378</t>
  </si>
  <si>
    <t>9700237.998927033</t>
  </si>
  <si>
    <t>81.0055439422139</t>
  </si>
  <si>
    <t>90.54819154360302</t>
  </si>
  <si>
    <t>88.10228696051873</t>
  </si>
  <si>
    <t>3126873.119999975</t>
  </si>
  <si>
    <t>2834357.330000014</t>
  </si>
  <si>
    <t>155863706.69513798</t>
  </si>
  <si>
    <t>17669317.505203776</t>
  </si>
  <si>
    <t>17727730.6704608</t>
  </si>
  <si>
    <t>19049130.63163186</t>
  </si>
  <si>
    <t>16231091.213518642</t>
  </si>
  <si>
    <t>803.9787152136417</t>
  </si>
  <si>
    <t>863.9061510944153</t>
  </si>
  <si>
    <t>736.1039099101425</t>
  </si>
  <si>
    <t>5744495.289999999</t>
  </si>
  <si>
    <t>7778060.390000001</t>
  </si>
  <si>
    <t>231007417.55861855</t>
  </si>
  <si>
    <t>-158578.03064212188</t>
  </si>
  <si>
    <t>-145482.21864091902</t>
  </si>
  <si>
    <t>-170475.07516399169</t>
  </si>
  <si>
    <t>-159776.79812145565</t>
  </si>
  <si>
    <t>-9.426086474077946</t>
  </si>
  <si>
    <t>-11.045424074380698</t>
  </si>
  <si>
    <t>-10.35226111970038</t>
  </si>
  <si>
    <t>10834.54</t>
  </si>
  <si>
    <t>3542.76</t>
  </si>
  <si>
    <t>393794162.7882414</t>
  </si>
  <si>
    <t>1391957.1227372435</t>
  </si>
  <si>
    <t>1005470.8347560741</t>
  </si>
  <si>
    <t>1288748.1850961447</t>
  </si>
  <si>
    <t>1881652.348359278</t>
  </si>
  <si>
    <t>1.988668581400463</t>
  </si>
  <si>
    <t>2.5489481509021847</t>
  </si>
  <si>
    <t>3.7216225244447743</t>
  </si>
  <si>
    <t>368905.3700000078</t>
  </si>
  <si>
    <t>178655.4900000004</t>
  </si>
  <si>
    <t>385557486.2846184</t>
  </si>
  <si>
    <t>3593115.9685816956</t>
  </si>
  <si>
    <t>3054632.717796545</t>
  </si>
  <si>
    <t>3357707.7789798677</t>
  </si>
  <si>
    <t>4367007.408968928</t>
  </si>
  <si>
    <t>14.161880802417059</t>
  </si>
  <si>
    <t>15.566996666480605</t>
  </si>
  <si>
    <t>20.246309164691315</t>
  </si>
  <si>
    <t>1130829.1199999955</t>
  </si>
  <si>
    <t>759590.0899999973</t>
  </si>
  <si>
    <t>65901451.369514465</t>
  </si>
  <si>
    <t>5927092.1261371905</t>
  </si>
  <si>
    <t>5789942.934619838</t>
  </si>
  <si>
    <t>6308857.815674797</t>
  </si>
  <si>
    <t>5682475.6281169355</t>
  </si>
  <si>
    <t>109.0158900156246</t>
  </si>
  <si>
    <t>118.78627432499476</t>
  </si>
  <si>
    <t>106.9924427730025</t>
  </si>
  <si>
    <t>1842914.0799999936</t>
  </si>
  <si>
    <t>1818546.5600000015</t>
  </si>
  <si>
    <t>112201347.52636242</t>
  </si>
  <si>
    <t>5078736.116972742</t>
  </si>
  <si>
    <t>4998100.443320969</t>
  </si>
  <si>
    <t>5399024.254225453</t>
  </si>
  <si>
    <t>4839083.65337181</t>
  </si>
  <si>
    <t>134.5890899213962</t>
  </si>
  <si>
    <t>145.3851856480357</t>
  </si>
  <si>
    <t>130.3070781282801</t>
  </si>
  <si>
    <t>1546329.7799999965</t>
  </si>
  <si>
    <t>1588614.9900000019</t>
  </si>
  <si>
    <t>96335154.07934284</t>
  </si>
  <si>
    <t>7992734.540278992</t>
  </si>
  <si>
    <t>7945971.841441528</t>
  </si>
  <si>
    <t>8540024.001823777</t>
  </si>
  <si>
    <t>7492207.777571696</t>
  </si>
  <si>
    <t>171.4415258790353</t>
  </si>
  <si>
    <t>184.25873828048194</t>
  </si>
  <si>
    <t>161.65115598454508</t>
  </si>
  <si>
    <t>2370936.569999986</t>
  </si>
  <si>
    <t>2592412.540900006</t>
  </si>
  <si>
    <t>151721737.06492424</t>
  </si>
  <si>
    <t>10519112.342850763</t>
  </si>
  <si>
    <t>10590335.897586325</t>
  </si>
  <si>
    <t>11250508.572486566</t>
  </si>
  <si>
    <t>9716492.558479428</t>
  </si>
  <si>
    <t>243.78103903103735</t>
  </si>
  <si>
    <t>258.97768455611083</t>
  </si>
  <si>
    <t>223.66586617741882</t>
  </si>
  <si>
    <t>3046912.1999999923</t>
  </si>
  <si>
    <t>3542645.1300000045</t>
  </si>
  <si>
    <t>196045315.7173996</t>
  </si>
  <si>
    <t>7495247.58004003</t>
  </si>
  <si>
    <t>6820902.98871531</t>
  </si>
  <si>
    <t>7552349.245324958</t>
  </si>
  <si>
    <t>8112490.506080098</t>
  </si>
  <si>
    <t>33.13063978703661</t>
  </si>
  <si>
    <t>36.68343660754598</t>
  </si>
  <si>
    <t>39.404167040252275</t>
  </si>
  <si>
    <t>2444762.0599999344</t>
  </si>
  <si>
    <t>1961472.0600000143</t>
  </si>
  <si>
    <t>131118232.93196201</t>
  </si>
  <si>
    <t>10594990.004478972</t>
  </si>
  <si>
    <t>10657513.359263763</t>
  </si>
  <si>
    <t>11377986.629368981</t>
  </si>
  <si>
    <t>9749470.024804141</t>
  </si>
  <si>
    <t>380.1502892549942</t>
  </si>
  <si>
    <t>405.8493536425533</t>
  </si>
  <si>
    <t>347.76065720721033</t>
  </si>
  <si>
    <t>2974079.4799999935</t>
  </si>
  <si>
    <t>3837326.4800000004</t>
  </si>
  <si>
    <t>170881641.94315815</t>
  </si>
  <si>
    <t>7645402.382760392</t>
  </si>
  <si>
    <t>7235538.9725254625</t>
  </si>
  <si>
    <t>7969044.010854156</t>
  </si>
  <si>
    <t>7731624.164901637</t>
  </si>
  <si>
    <t>58.2426203807863</t>
  </si>
  <si>
    <t>64.14698433445884</t>
  </si>
  <si>
    <t>62.235868381496054</t>
  </si>
  <si>
    <t>2451963.5499999626</t>
  </si>
  <si>
    <t>2224349.4500000137</t>
  </si>
  <si>
    <t>140480233.23933983</t>
  </si>
  <si>
    <t>6834434.746668607</t>
  </si>
  <si>
    <t>6617231.419814526</t>
  </si>
  <si>
    <t>7225950.068677245</t>
  </si>
  <si>
    <t>6660122.751514152</t>
  </si>
  <si>
    <t>83.87815365269202</t>
  </si>
  <si>
    <t>91.5940990566382</t>
  </si>
  <si>
    <t>84.42183204058956</t>
  </si>
  <si>
    <t>2149127.9199999813</t>
  </si>
  <si>
    <t>2089579.8009000053</t>
  </si>
  <si>
    <t>128289511.39328384</t>
  </si>
  <si>
    <t>13139682.186502632</t>
  </si>
  <si>
    <t>13311795.169013508</t>
  </si>
  <si>
    <t>14138444.253574578</t>
  </si>
  <si>
    <t>11968807.136919811</t>
  </si>
  <si>
    <t>821.0062396085794</t>
  </si>
  <si>
    <t>871.9899009235585</t>
  </si>
  <si>
    <t>738.1773243443821</t>
  </si>
  <si>
    <t>3808029.5399999963</t>
  </si>
  <si>
    <t>5979669.3300000075</t>
  </si>
  <si>
    <t>175588167.74355412</t>
  </si>
  <si>
    <t>-113873.59348068433</t>
  </si>
  <si>
    <t>-105036.31785822299</t>
  </si>
  <si>
    <t>-115620.15137681674</t>
  </si>
  <si>
    <t>-120964.31120701336</t>
  </si>
  <si>
    <t>-9.832099397006738</t>
  </si>
  <si>
    <t>-10.82281675342289</t>
  </si>
  <si>
    <t>-11.323065731256516</t>
  </si>
  <si>
    <t>6845.260000000001</t>
  </si>
  <si>
    <t>4046.65</t>
  </si>
  <si>
    <t>451666035.04435635</t>
  </si>
  <si>
    <t>5033929.7493504565</t>
  </si>
  <si>
    <t>4773884.537199029</t>
  </si>
  <si>
    <t>4743042.474085934</t>
  </si>
  <si>
    <t>5584862.236769084</t>
  </si>
  <si>
    <t>3.1828782724293863</t>
  </si>
  <si>
    <t>3.1623150326202474</t>
  </si>
  <si>
    <t>3.7235790956840646</t>
  </si>
  <si>
    <t>1876824.7004999523</t>
  </si>
  <si>
    <t>400641.81959999364</t>
  </si>
  <si>
    <t>128758661.83128834</t>
  </si>
  <si>
    <t>17288918.189058762</t>
  </si>
  <si>
    <t>17234062.76366002</t>
  </si>
  <si>
    <t>16733730.152381666</t>
  </si>
  <si>
    <t>17898961.65113512</t>
  </si>
  <si>
    <t>17.051155023720572</t>
  </si>
  <si>
    <t>16.556132518851943</t>
  </si>
  <si>
    <t>17.708997237765608</t>
  </si>
  <si>
    <t>8805089.884199213</t>
  </si>
  <si>
    <t>2223518.133100076</t>
  </si>
  <si>
    <t>175336309.27657604</t>
  </si>
  <si>
    <t>62870984.786938</t>
  </si>
  <si>
    <t>64265120.71946491</t>
  </si>
  <si>
    <t>65525995.34467415</t>
  </si>
  <si>
    <t>58821838.296674855</t>
  </si>
  <si>
    <t>114.46215572713106</t>
  </si>
  <si>
    <t>116.70789067771327</t>
  </si>
  <si>
    <t>104.76716358568723</t>
  </si>
  <si>
    <t>28873993.460100196</t>
  </si>
  <si>
    <t>16162885.177099679</t>
  </si>
  <si>
    <t>572223481.8590031</t>
  </si>
  <si>
    <t>60956688.90744862</t>
  </si>
  <si>
    <t>62457754.33219899</t>
  </si>
  <si>
    <t>63727077.221187115</t>
  </si>
  <si>
    <t>56685235.16896118</t>
  </si>
  <si>
    <t>140.3983588855822</t>
  </si>
  <si>
    <t>143.25166112827853</t>
  </si>
  <si>
    <t>127.42235253025368</t>
  </si>
  <si>
    <t>27148365.756100122</t>
  </si>
  <si>
    <t>16486506.35039974</t>
  </si>
  <si>
    <t>565662604.3924732</t>
  </si>
  <si>
    <t>113129118.43671328</t>
  </si>
  <si>
    <t>116281149.18828893</t>
  </si>
  <si>
    <t>118528866.18622251</t>
  </si>
  <si>
    <t>104577339.93562625</t>
  </si>
  <si>
    <t>178.1838076042865</t>
  </si>
  <si>
    <t>181.62810425859766</t>
  </si>
  <si>
    <t>160.24943637841506</t>
  </si>
  <si>
    <t>48666773.84690056</t>
  </si>
  <si>
    <t>32462493.775299452</t>
  </si>
  <si>
    <t>1074249436.7662706</t>
  </si>
  <si>
    <t>188222463.9748751</t>
  </si>
  <si>
    <t>193615124.66260684</t>
  </si>
  <si>
    <t>197808934.33887765</t>
  </si>
  <si>
    <t>173243332.92314315</t>
  </si>
  <si>
    <t>251.42633649098954</t>
  </si>
  <si>
    <t>256.8723686885396</t>
  </si>
  <si>
    <t>224.9717659932748</t>
  </si>
  <si>
    <t>76565938.55060026</t>
  </si>
  <si>
    <t>58560105.074698925</t>
  </si>
  <si>
    <t>1812515941.7223434</t>
  </si>
  <si>
    <t>46138614.80176116</t>
  </si>
  <si>
    <t>46546923.17730329</t>
  </si>
  <si>
    <t>46504941.82923618</t>
  </si>
  <si>
    <t>45363979.398745924</t>
  </si>
  <si>
    <t>37.17389683046887</t>
  </si>
  <si>
    <t>37.14036915140174</t>
  </si>
  <si>
    <t>36.229159198449</t>
  </si>
  <si>
    <t>24173521.527501274</t>
  </si>
  <si>
    <t>7813572.581700136</t>
  </si>
  <si>
    <t>395209939.78778744</t>
  </si>
  <si>
    <t>250213114.7951313</t>
  </si>
  <si>
    <t>257599331.2164961</t>
  </si>
  <si>
    <t>263900295.85491115</t>
  </si>
  <si>
    <t>229139717.31398562</t>
  </si>
  <si>
    <t>393.9436078301024</t>
  </si>
  <si>
    <t>403.5795984623178</t>
  </si>
  <si>
    <t>350.4206571870971</t>
  </si>
  <si>
    <t>94084857.06969993</t>
  </si>
  <si>
    <t>87785909.34850004</t>
  </si>
  <si>
    <t>2329738878.711341</t>
  </si>
  <si>
    <t>58103114.286529034</t>
  </si>
  <si>
    <t>58919605.26796212</t>
  </si>
  <si>
    <t>59802147.34412491</t>
  </si>
  <si>
    <t>55587590.24749893</t>
  </si>
  <si>
    <t>62.817426587730814</t>
  </si>
  <si>
    <t>63.75835315755095</t>
  </si>
  <si>
    <t>59.26498240577742</t>
  </si>
  <si>
    <t>29021453.093200542</t>
  </si>
  <si>
    <t>12349064.048799632</t>
  </si>
  <si>
    <t>506367772.35464764</t>
  </si>
  <si>
    <t>62526847.22722509</t>
  </si>
  <si>
    <t>63743564.002788335</t>
  </si>
  <si>
    <t>64879461.67802131</t>
  </si>
  <si>
    <t>58957516.00086504</t>
  </si>
  <si>
    <t>88.6747305098141</t>
  </si>
  <si>
    <t>90.25489663032789</t>
  </si>
  <si>
    <t>82.01677964972386</t>
  </si>
  <si>
    <t>29808588.655600373</t>
  </si>
  <si>
    <t>15010306.683899635</t>
  </si>
  <si>
    <t>558441254.8325081</t>
  </si>
  <si>
    <t>417248334.28477114</t>
  </si>
  <si>
    <t>430345340.55731165</t>
  </si>
  <si>
    <t>443096285.5927358</t>
  </si>
  <si>
    <t>378303376.70425785</t>
  </si>
  <si>
    <t>855.7325666236061</t>
  </si>
  <si>
    <t>881.0875499212281</t>
  </si>
  <si>
    <t>752.2482271802335</t>
  </si>
  <si>
    <t>148896054.06860036</t>
  </si>
  <si>
    <t>183677686.36490044</t>
  </si>
  <si>
    <t>3786187501.5596237</t>
  </si>
  <si>
    <t>-259048.45979647816</t>
  </si>
  <si>
    <t>-274650.2451201291</t>
  </si>
  <si>
    <t>-289088.7754667324</t>
  </si>
  <si>
    <t>-213406.35880257358</t>
  </si>
  <si>
    <t>-15.629104030053439</t>
  </si>
  <si>
    <t>-16.4507355298886</t>
  </si>
  <si>
    <t>-12.143991282226915</t>
  </si>
  <si>
    <t>86366.5601</t>
  </si>
  <si>
    <t>19531.9903</t>
  </si>
  <si>
    <t>3010322.133072853</t>
  </si>
  <si>
    <t>Row Labels</t>
  </si>
  <si>
    <t>Grand Total</t>
  </si>
  <si>
    <t>Feb</t>
  </si>
  <si>
    <t>Mar</t>
  </si>
  <si>
    <t>Apr</t>
  </si>
  <si>
    <t>Sum of SEG_CNT</t>
  </si>
  <si>
    <t>(All)</t>
  </si>
  <si>
    <t>ALL AON</t>
  </si>
  <si>
    <t>Month</t>
  </si>
  <si>
    <t xml:space="preserve"> SEG_CNT</t>
  </si>
  <si>
    <t xml:space="preserve"> CNT_DOLA_7INC</t>
  </si>
  <si>
    <t xml:space="preserve"> CNT_DOLA_15INC</t>
  </si>
  <si>
    <t xml:space="preserve"> CNT_DOLA_30INC</t>
  </si>
  <si>
    <t xml:space="preserve"> CNT_DOLA_60INC</t>
  </si>
  <si>
    <t xml:space="preserve"> CNT_DOLA_90INC</t>
  </si>
  <si>
    <t>DOLA&gt;=7D%</t>
  </si>
  <si>
    <t>DOLA&gt;=15D%</t>
  </si>
  <si>
    <t>DOLA&gt;=30D%</t>
  </si>
  <si>
    <t>DOLA&gt;=60D%</t>
  </si>
  <si>
    <t>DOLA&gt;=90D%</t>
  </si>
  <si>
    <t>AON &lt;90</t>
  </si>
  <si>
    <t>AON &gt;=90</t>
  </si>
  <si>
    <t>Sum of CNT_DOLA_7INC</t>
  </si>
  <si>
    <t>Sum of CNT_DOLA_15INC</t>
  </si>
  <si>
    <t>Sum of CNT_DOLA_30INC</t>
  </si>
  <si>
    <t>Sum of CNT_DOLA_60INC</t>
  </si>
  <si>
    <t>Sum of CNT_DOLA_90INC</t>
  </si>
  <si>
    <t>Overall AON</t>
  </si>
  <si>
    <t>Deloitte</t>
  </si>
  <si>
    <t>MTN</t>
  </si>
  <si>
    <t>AON&lt;90</t>
  </si>
  <si>
    <t>AON&gt;=90</t>
  </si>
  <si>
    <t>&gt;=</t>
  </si>
  <si>
    <t>(Multiple Items)</t>
  </si>
  <si>
    <t>Sum of AVGL3MREV</t>
  </si>
  <si>
    <t>Sum of ARPU</t>
  </si>
  <si>
    <t>Sum of SEG_CNT2</t>
  </si>
  <si>
    <t>Sum of AVGL3MREV2</t>
  </si>
  <si>
    <t>Low</t>
  </si>
  <si>
    <t>Medium</t>
  </si>
  <si>
    <t>High</t>
  </si>
  <si>
    <t>VHigh</t>
  </si>
  <si>
    <t>ARPU_Seg</t>
  </si>
  <si>
    <t>OLD_seg_asper PPT</t>
  </si>
  <si>
    <t>Values</t>
  </si>
  <si>
    <t>Sum of Sum of SEG_CNT</t>
  </si>
  <si>
    <t>Sum of  SEG_CNT</t>
  </si>
  <si>
    <t>Sum of Sum of AVGL3MREV</t>
  </si>
  <si>
    <t>Sum of  AVGL3MREV</t>
  </si>
  <si>
    <t>Segment</t>
  </si>
  <si>
    <t>ARPU(L3M)</t>
  </si>
  <si>
    <t>Base (MN)</t>
  </si>
  <si>
    <t>Base%</t>
  </si>
  <si>
    <t>Revenue(L3M)(MN)</t>
  </si>
  <si>
    <t>Value loss(MN)</t>
  </si>
  <si>
    <t>Value loss%</t>
  </si>
  <si>
    <t xml:space="preserve"> 7D_Inactivity%</t>
  </si>
  <si>
    <t xml:space="preserve"> 15D_Inactivity%</t>
  </si>
  <si>
    <t xml:space="preserve"> 30D_Inactivity%</t>
  </si>
  <si>
    <t>Churn% (90 day)</t>
  </si>
  <si>
    <t>Sum of 7DI%</t>
  </si>
  <si>
    <t>Sum of 15DI%</t>
  </si>
  <si>
    <t>Sum of 30DI%</t>
  </si>
  <si>
    <t>Sum of 60DI%</t>
  </si>
  <si>
    <t>Sum of 90DI%</t>
  </si>
  <si>
    <t xml:space="preserve"> 7dy_inactivity</t>
  </si>
  <si>
    <t xml:space="preserve"> 15dy_inactivity</t>
  </si>
  <si>
    <t xml:space="preserve"> 30dy_inactivity</t>
  </si>
  <si>
    <t>Churn (90 day)</t>
  </si>
  <si>
    <t>Base</t>
  </si>
  <si>
    <t>Rev(L3M) in Million</t>
  </si>
  <si>
    <t>Value loss</t>
  </si>
  <si>
    <t>Revenue</t>
  </si>
  <si>
    <t>Value Loss</t>
  </si>
  <si>
    <t xml:space="preserve">Value Churn </t>
  </si>
  <si>
    <t>customer_type = 'CONSUMER'</t>
  </si>
  <si>
    <t>subscriber_type = 1</t>
  </si>
  <si>
    <t>status = 'active'</t>
  </si>
  <si>
    <t>Old for comparison</t>
  </si>
  <si>
    <t>SAURAV_OLD_for  comparison</t>
  </si>
  <si>
    <t>OLD_ AON &gt; 90 for comparison</t>
  </si>
  <si>
    <t>OLD_DATA_Shared by Anda_for comparion purpose</t>
  </si>
  <si>
    <t>NEW_DATA_With filters agreed by Anda</t>
  </si>
  <si>
    <t>Apr Exact Filters</t>
  </si>
  <si>
    <t>SORB</t>
  </si>
  <si>
    <t>SORB_Numbers</t>
  </si>
  <si>
    <t>base</t>
  </si>
  <si>
    <t>rev</t>
  </si>
  <si>
    <t>arpu</t>
  </si>
  <si>
    <t>base%</t>
  </si>
  <si>
    <t>rev%</t>
  </si>
  <si>
    <t xml:space="preserve">Winback </t>
  </si>
  <si>
    <t xml:space="preserve">Winback on 15th day </t>
  </si>
  <si>
    <t xml:space="preserve">30th day </t>
  </si>
  <si>
    <t>ARPU_Slab</t>
  </si>
  <si>
    <t>ARPR&gt;=90</t>
  </si>
  <si>
    <t>Smartphone</t>
  </si>
  <si>
    <t>DataUser</t>
  </si>
  <si>
    <t>ARPU Band</t>
  </si>
  <si>
    <t xml:space="preserve">Base Percentage </t>
  </si>
  <si>
    <t>Revenue %</t>
  </si>
  <si>
    <t xml:space="preserve">0 - 10 </t>
  </si>
  <si>
    <t>10 - 25</t>
  </si>
  <si>
    <t>25 - 50</t>
  </si>
  <si>
    <t>50 - 75</t>
  </si>
  <si>
    <t>75 - 100</t>
  </si>
  <si>
    <t xml:space="preserve">100 - 125 </t>
  </si>
  <si>
    <t xml:space="preserve">125 - 150 </t>
  </si>
  <si>
    <t xml:space="preserve">150 - 200 </t>
  </si>
  <si>
    <t xml:space="preserve">200 - 300 </t>
  </si>
  <si>
    <t xml:space="preserve">300 - 500 </t>
  </si>
  <si>
    <t xml:space="preserve">Rate of change </t>
  </si>
  <si>
    <t>ARPU</t>
  </si>
  <si>
    <t>churn</t>
  </si>
  <si>
    <t>churn%</t>
  </si>
  <si>
    <t>high</t>
  </si>
  <si>
    <t>med</t>
  </si>
  <si>
    <t>low</t>
  </si>
  <si>
    <t>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</si>
</sst>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_ ;_ * \-#,##0_ ;_ * &quot;-&quot;??_ ;_ @_ "/>
    <numFmt numFmtId="165" formatCode="0.0%"/>
    <numFmt numFmtId="166" formatCode="_(* #,##0_);_(* \(#,##0\);_(* &quot;-&quot;??_);_(@_)"/>
    <numFmt numFmtId="167" formatCode="0.0"/>
    <numFmt numFmtId="17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7"/>
      <color theme="1"/>
      <name val="Segoe UI"/>
      <family val="2"/>
    </font>
    <font>
      <sz val="10"/>
      <color rgb="FF000000"/>
      <name val="Segoe UI"/>
      <family val="2"/>
    </font>
    <font>
      <sz val="11"/>
      <color theme="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B05"/>
        <bgColor indexed="64"/>
      </patternFill>
    </fill>
    <fill>
      <patternFill patternType="solid">
        <fgColor rgb="FFFFECCC"/>
        <bgColor indexed="64"/>
      </patternFill>
    </fill>
    <fill>
      <patternFill patternType="solid">
        <fgColor rgb="FFFBCDA5"/>
        <bgColor indexed="64"/>
      </patternFill>
    </fill>
    <fill>
      <patternFill patternType="solid">
        <fgColor rgb="FFFFF6E7"/>
        <bgColor indexed="64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0" fillId="0" borderId="0" xfId="0"/>
    <xf numFmtId="164" fontId="3" fillId="0" borderId="1" xfId="1" applyNumberFormat="1" applyFont="1" applyBorder="1"/>
    <xf numFmtId="164" fontId="0" fillId="0" borderId="1" xfId="1" applyNumberFormat="1" applyFont="1" applyBorder="1"/>
    <xf numFmtId="165" fontId="0" fillId="0" borderId="1" xfId="2" applyNumberFormat="1" applyFont="1" applyBorder="1"/>
    <xf numFmtId="164" fontId="0" fillId="0" borderId="0" xfId="1" applyNumberFormat="1" applyFont="1"/>
    <xf numFmtId="15" fontId="0" fillId="0" borderId="0" xfId="0" applyNumberFormat="1"/>
    <xf numFmtId="166" fontId="0" fillId="0" borderId="0" xfId="1" applyNumberFormat="1" applyFont="1"/>
    <xf numFmtId="164" fontId="3" fillId="4" borderId="1" xfId="1" applyNumberFormat="1" applyFont="1" applyFill="1" applyBorder="1" applyAlignment="1"/>
    <xf numFmtId="0" fontId="2" fillId="0" borderId="0" xfId="0" applyFont="1"/>
    <xf numFmtId="9" fontId="0" fillId="0" borderId="0" xfId="2" applyFont="1"/>
    <xf numFmtId="0" fontId="0" fillId="3" borderId="0" xfId="0" applyFill="1"/>
    <xf numFmtId="10" fontId="0" fillId="0" borderId="0" xfId="2" applyNumberFormat="1" applyFont="1"/>
    <xf numFmtId="0" fontId="0" fillId="3" borderId="2" xfId="0" applyFill="1" applyBorder="1"/>
    <xf numFmtId="0" fontId="0" fillId="0" borderId="2" xfId="0" applyBorder="1"/>
    <xf numFmtId="165" fontId="0" fillId="0" borderId="2" xfId="2" applyNumberFormat="1" applyFont="1" applyBorder="1"/>
    <xf numFmtId="164" fontId="3" fillId="0" borderId="2" xfId="1" applyNumberFormat="1" applyFont="1" applyBorder="1"/>
    <xf numFmtId="164" fontId="0" fillId="0" borderId="2" xfId="0" applyNumberFormat="1" applyBorder="1"/>
    <xf numFmtId="167" fontId="0" fillId="0" borderId="0" xfId="0" applyNumberFormat="1"/>
    <xf numFmtId="10" fontId="0" fillId="0" borderId="0" xfId="0" applyNumberFormat="1"/>
    <xf numFmtId="0" fontId="3" fillId="0" borderId="0" xfId="0" applyFont="1"/>
    <xf numFmtId="0" fontId="0" fillId="0" borderId="0" xfId="0" applyFont="1"/>
    <xf numFmtId="165" fontId="0" fillId="0" borderId="0" xfId="0" applyNumberFormat="1"/>
    <xf numFmtId="164" fontId="0" fillId="3" borderId="2" xfId="0" applyNumberFormat="1" applyFill="1" applyBorder="1"/>
    <xf numFmtId="0" fontId="4" fillId="5" borderId="3" xfId="0" applyFont="1" applyFill="1" applyBorder="1" applyAlignment="1">
      <alignment horizontal="center" wrapText="1" readingOrder="1"/>
    </xf>
    <xf numFmtId="0" fontId="4" fillId="6" borderId="3" xfId="0" applyFont="1" applyFill="1" applyBorder="1" applyAlignment="1">
      <alignment horizontal="center" wrapText="1" readingOrder="1"/>
    </xf>
    <xf numFmtId="10" fontId="4" fillId="6" borderId="3" xfId="0" applyNumberFormat="1" applyFont="1" applyFill="1" applyBorder="1" applyAlignment="1">
      <alignment horizontal="center" wrapText="1" readingOrder="1"/>
    </xf>
    <xf numFmtId="0" fontId="4" fillId="7" borderId="3" xfId="0" applyFont="1" applyFill="1" applyBorder="1" applyAlignment="1">
      <alignment horizontal="center" wrapText="1" readingOrder="1"/>
    </xf>
    <xf numFmtId="10" fontId="4" fillId="7" borderId="3" xfId="0" applyNumberFormat="1" applyFont="1" applyFill="1" applyBorder="1" applyAlignment="1">
      <alignment horizontal="center" wrapText="1" readingOrder="1"/>
    </xf>
    <xf numFmtId="0" fontId="4" fillId="8" borderId="3" xfId="0" applyFont="1" applyFill="1" applyBorder="1" applyAlignment="1">
      <alignment horizontal="center" wrapText="1" readingOrder="1"/>
    </xf>
    <xf numFmtId="10" fontId="4" fillId="8" borderId="3" xfId="0" applyNumberFormat="1" applyFont="1" applyFill="1" applyBorder="1" applyAlignment="1">
      <alignment horizontal="center" wrapText="1" readingOrder="1"/>
    </xf>
    <xf numFmtId="3" fontId="0" fillId="0" borderId="0" xfId="0" applyNumberFormat="1"/>
    <xf numFmtId="1" fontId="0" fillId="0" borderId="0" xfId="0" applyNumberFormat="1"/>
    <xf numFmtId="10" fontId="0" fillId="3" borderId="0" xfId="0" applyNumberFormat="1" applyFill="1"/>
    <xf numFmtId="0" fontId="3" fillId="2" borderId="1" xfId="0" applyFont="1" applyFill="1" applyBorder="1"/>
    <xf numFmtId="0" fontId="3" fillId="9" borderId="1" xfId="0" applyFont="1" applyFill="1" applyBorder="1"/>
    <xf numFmtId="0" fontId="0" fillId="0" borderId="1" xfId="0" applyBorder="1"/>
    <xf numFmtId="0" fontId="0" fillId="10" borderId="1" xfId="0" applyFill="1" applyBorder="1"/>
    <xf numFmtId="164" fontId="0" fillId="10" borderId="1" xfId="1" applyNumberFormat="1" applyFont="1" applyFill="1" applyBorder="1"/>
    <xf numFmtId="165" fontId="0" fillId="10" borderId="1" xfId="2" applyNumberFormat="1" applyFont="1" applyFill="1" applyBorder="1"/>
    <xf numFmtId="164" fontId="0" fillId="0" borderId="0" xfId="1" applyNumberFormat="1" applyFont="1" applyBorder="1"/>
    <xf numFmtId="9" fontId="0" fillId="0" borderId="0" xfId="2" applyFont="1" applyBorder="1"/>
    <xf numFmtId="10" fontId="3" fillId="2" borderId="1" xfId="0" applyNumberFormat="1" applyFont="1" applyFill="1" applyBorder="1"/>
    <xf numFmtId="0" fontId="0" fillId="3" borderId="0" xfId="0" applyFill="1" applyAlignment="1">
      <alignment wrapText="1"/>
    </xf>
    <xf numFmtId="167" fontId="0" fillId="0" borderId="2" xfId="0" applyNumberFormat="1" applyBorder="1"/>
    <xf numFmtId="0" fontId="0" fillId="0" borderId="0" xfId="0" applyBorder="1"/>
    <xf numFmtId="164" fontId="0" fillId="0" borderId="0" xfId="1" applyNumberFormat="1" applyFont="1" applyFill="1" applyBorder="1"/>
    <xf numFmtId="0" fontId="0" fillId="0" borderId="4" xfId="0" applyBorder="1"/>
    <xf numFmtId="0" fontId="0" fillId="0" borderId="5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0" fontId="0" fillId="0" borderId="7" xfId="0" applyBorder="1"/>
    <xf numFmtId="0" fontId="0" fillId="0" borderId="0" xfId="0" applyNumberFormat="1" applyBorder="1"/>
    <xf numFmtId="10" fontId="0" fillId="0" borderId="0" xfId="0" applyNumberFormat="1" applyBorder="1"/>
    <xf numFmtId="10" fontId="0" fillId="0" borderId="8" xfId="0" applyNumberFormat="1" applyBorder="1"/>
    <xf numFmtId="0" fontId="0" fillId="0" borderId="9" xfId="0" applyBorder="1"/>
    <xf numFmtId="0" fontId="0" fillId="0" borderId="10" xfId="0" applyNumberFormat="1" applyBorder="1"/>
    <xf numFmtId="10" fontId="0" fillId="0" borderId="10" xfId="0" applyNumberFormat="1" applyBorder="1"/>
    <xf numFmtId="10" fontId="0" fillId="0" borderId="11" xfId="0" applyNumberFormat="1" applyBorder="1"/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11" borderId="6" xfId="0" applyFont="1" applyFill="1" applyBorder="1" applyAlignment="1">
      <alignment vertical="center" wrapText="1"/>
    </xf>
    <xf numFmtId="0" fontId="0" fillId="0" borderId="0" xfId="0"/>
    <xf numFmtId="165" fontId="0" fillId="0" borderId="1" xfId="2" applyNumberFormat="1" applyFont="1" applyBorder="1"/>
    <xf numFmtId="0" fontId="5" fillId="0" borderId="0" xfId="0" applyFont="1" applyBorder="1" applyAlignment="1">
      <alignment vertical="center" wrapText="1"/>
    </xf>
    <xf numFmtId="0" fontId="5" fillId="11" borderId="8" xfId="0" applyFont="1" applyFill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11" borderId="11" xfId="0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165" fontId="0" fillId="10" borderId="0" xfId="0" applyNumberFormat="1" applyFill="1"/>
    <xf numFmtId="165" fontId="0" fillId="0" borderId="0" xfId="2" applyNumberFormat="1" applyFont="1"/>
    <xf numFmtId="9" fontId="0" fillId="0" borderId="1" xfId="2" applyFont="1" applyBorder="1"/>
    <xf numFmtId="0" fontId="0" fillId="0" borderId="0" xfId="0" applyFill="1" applyBorder="1"/>
    <xf numFmtId="0" fontId="0" fillId="0" borderId="0" xfId="0" applyAlignment="1">
      <alignment horizontal="left"/>
    </xf>
    <xf numFmtId="165" fontId="3" fillId="0" borderId="1" xfId="2" applyNumberFormat="1" applyFont="1" applyBorder="1"/>
    <xf numFmtId="164" fontId="7" fillId="0" borderId="0" xfId="1" applyNumberFormat="1" applyFont="1"/>
    <xf numFmtId="164" fontId="7" fillId="0" borderId="0" xfId="1" applyNumberFormat="1" applyFont="1" applyBorder="1"/>
    <xf numFmtId="0" fontId="7" fillId="0" borderId="0" xfId="0" applyFont="1"/>
    <xf numFmtId="166" fontId="7" fillId="0" borderId="0" xfId="1" applyNumberFormat="1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2" borderId="12" xfId="0" applyFont="1" applyFill="1" applyBorder="1"/>
    <xf numFmtId="0" fontId="3" fillId="9" borderId="13" xfId="0" applyFont="1" applyFill="1" applyBorder="1"/>
    <xf numFmtId="0" fontId="0" fillId="0" borderId="1" xfId="0" applyBorder="1" applyAlignment="1">
      <alignment horizontal="left"/>
    </xf>
    <xf numFmtId="167" fontId="0" fillId="0" borderId="1" xfId="0" applyNumberFormat="1" applyBorder="1"/>
    <xf numFmtId="10" fontId="0" fillId="0" borderId="1" xfId="0" applyNumberFormat="1" applyBorder="1"/>
    <xf numFmtId="0" fontId="0" fillId="0" borderId="1" xfId="0" applyNumberFormat="1" applyBorder="1"/>
    <xf numFmtId="174" fontId="0" fillId="0" borderId="0" xfId="0" applyNumberFormat="1"/>
    <xf numFmtId="0" fontId="0" fillId="0" borderId="0" xfId="0" applyAlignment="1">
      <alignment horizontal="left" indent="1"/>
    </xf>
    <xf numFmtId="0" fontId="0" fillId="0" borderId="4" xfId="0" applyNumberFormat="1" applyBorder="1"/>
    <xf numFmtId="0" fontId="0" fillId="0" borderId="7" xfId="0" applyNumberFormat="1" applyBorder="1"/>
    <xf numFmtId="0" fontId="0" fillId="0" borderId="9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3" borderId="0" xfId="0" applyNumberFormat="1" applyFill="1"/>
    <xf numFmtId="0" fontId="0" fillId="3" borderId="1" xfId="0" applyFill="1" applyBorder="1"/>
    <xf numFmtId="165" fontId="0" fillId="3" borderId="0" xfId="0" applyNumberFormat="1" applyFill="1"/>
    <xf numFmtId="0" fontId="0" fillId="3" borderId="0" xfId="0" applyNumberFormat="1" applyFill="1"/>
    <xf numFmtId="164" fontId="0" fillId="3" borderId="1" xfId="1" applyNumberFormat="1" applyFont="1" applyFill="1" applyBorder="1"/>
    <xf numFmtId="165" fontId="0" fillId="10" borderId="13" xfId="2" applyNumberFormat="1" applyFont="1" applyFill="1" applyBorder="1"/>
    <xf numFmtId="164" fontId="0" fillId="0" borderId="21" xfId="1" applyNumberFormat="1" applyFont="1" applyBorder="1"/>
    <xf numFmtId="164" fontId="2" fillId="0" borderId="18" xfId="1" applyNumberFormat="1" applyFont="1" applyBorder="1"/>
    <xf numFmtId="164" fontId="2" fillId="10" borderId="22" xfId="1" applyNumberFormat="1" applyFont="1" applyFill="1" applyBorder="1"/>
    <xf numFmtId="174" fontId="0" fillId="0" borderId="0" xfId="2" applyNumberFormat="1" applyFont="1"/>
    <xf numFmtId="0" fontId="0" fillId="0" borderId="0" xfId="0" applyAlignment="1">
      <alignment horizontal="center"/>
    </xf>
    <xf numFmtId="9" fontId="0" fillId="3" borderId="28" xfId="2" applyFont="1" applyFill="1" applyBorder="1"/>
    <xf numFmtId="0" fontId="0" fillId="0" borderId="0" xfId="0"/>
    <xf numFmtId="9" fontId="0" fillId="0" borderId="25" xfId="2" applyFont="1" applyBorder="1"/>
    <xf numFmtId="9" fontId="0" fillId="0" borderId="26" xfId="2" applyFont="1" applyBorder="1"/>
    <xf numFmtId="9" fontId="0" fillId="3" borderId="23" xfId="2" applyFont="1" applyFill="1" applyBorder="1"/>
    <xf numFmtId="9" fontId="0" fillId="3" borderId="24" xfId="2" applyFont="1" applyFill="1" applyBorder="1"/>
    <xf numFmtId="9" fontId="0" fillId="0" borderId="27" xfId="2" applyFont="1" applyBorder="1"/>
    <xf numFmtId="9" fontId="0" fillId="0" borderId="25" xfId="2" quotePrefix="1" applyFont="1" applyBorder="1"/>
    <xf numFmtId="9" fontId="0" fillId="0" borderId="0" xfId="2" applyFont="1"/>
    <xf numFmtId="0" fontId="3" fillId="2" borderId="13" xfId="0" applyFont="1" applyFill="1" applyBorder="1"/>
    <xf numFmtId="167" fontId="0" fillId="3" borderId="1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59"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67" formatCode="0.0"/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67" formatCode="0.0"/>
    </dxf>
    <dxf>
      <numFmt numFmtId="14" formatCode="0.00%"/>
    </dxf>
    <dxf>
      <numFmt numFmtId="14" formatCode="0.00%"/>
    </dxf>
    <dxf>
      <numFmt numFmtId="14" formatCode="0.00%"/>
    </dxf>
    <dxf>
      <numFmt numFmtId="167" formatCode="0.0"/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numFmt numFmtId="14" formatCode="0.00%"/>
    </dxf>
    <dxf>
      <numFmt numFmtId="14" formatCode="0.00%"/>
    </dxf>
    <dxf>
      <numFmt numFmtId="167" formatCode="0.0"/>
    </dxf>
    <dxf>
      <alignment wrapText="1"/>
    </dxf>
    <dxf>
      <fill>
        <patternFill patternType="solid">
          <bgColor rgb="FFFFFF00"/>
        </patternFill>
      </fill>
    </dxf>
    <dxf>
      <numFmt numFmtId="165" formatCode="0.0%"/>
    </dxf>
    <dxf>
      <numFmt numFmtId="165" formatCode="0.0%"/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'Value_Loss (2)'!$V$7:$V$18</c:f>
              <c:numCache>
                <c:formatCode>0.000</c:formatCode>
                <c:ptCount val="12"/>
                <c:pt idx="0">
                  <c:v>-0.85916465958056809</c:v>
                </c:pt>
                <c:pt idx="1">
                  <c:v>-0.48613489706351803</c:v>
                </c:pt>
                <c:pt idx="2">
                  <c:v>0.78449598741740756</c:v>
                </c:pt>
                <c:pt idx="3">
                  <c:v>2.571901206378858</c:v>
                </c:pt>
                <c:pt idx="4">
                  <c:v>4.6099283254592827</c:v>
                </c:pt>
                <c:pt idx="5">
                  <c:v>6.7640006165606277</c:v>
                </c:pt>
                <c:pt idx="6">
                  <c:v>8.945139397703711</c:v>
                </c:pt>
                <c:pt idx="7">
                  <c:v>11.163630247373332</c:v>
                </c:pt>
                <c:pt idx="8">
                  <c:v>13.421522092208381</c:v>
                </c:pt>
                <c:pt idx="9">
                  <c:v>15.683917776582728</c:v>
                </c:pt>
                <c:pt idx="10">
                  <c:v>18.063687270489744</c:v>
                </c:pt>
                <c:pt idx="11">
                  <c:v>20.957700186862006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F-4E62-9765-5A75A22D8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939343"/>
        <c:axId val="435535999"/>
      </c:barChart>
      <c:catAx>
        <c:axId val="2004939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35999"/>
        <c:crosses val="autoZero"/>
        <c:auto val="1"/>
        <c:lblAlgn val="ctr"/>
        <c:lblOffset val="100"/>
        <c:noMultiLvlLbl val="0"/>
      </c:catAx>
      <c:valAx>
        <c:axId val="4355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3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99218</xdr:colOff>
      <xdr:row>5</xdr:row>
      <xdr:rowOff>17462</xdr:rowOff>
    </xdr:from>
    <xdr:to>
      <xdr:col>30</xdr:col>
      <xdr:colOff>392906</xdr:colOff>
      <xdr:row>19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08EE05-7FE5-4706-AFCA-CA06318D0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aveenk/Desktop/MTN/Analysis/Saurav_analysis_01_06.xlsb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, Naveen" refreshedDate="44357.589082754632" createdVersion="6" refreshedVersion="6" minRefreshableVersion="3" recordCount="216" xr:uid="{2206389B-AD0D-4A37-B242-8CCF73E29724}">
  <cacheSource type="worksheet">
    <worksheetSource ref="A1:V217" sheet="Compiled"/>
  </cacheSource>
  <cacheFields count="24">
    <cacheField name="DATE" numFmtId="14">
      <sharedItems containsSemiMixedTypes="0" containsNonDate="0" containsDate="1" containsString="0" minDate="2021-02-01T00:00:00" maxDate="2021-04-02T00:00:00" count="3">
        <d v="2021-02-01T00:00:00"/>
        <d v="2021-03-01T00:00:00"/>
        <d v="2021-04-01T00:00:00"/>
      </sharedItems>
      <fieldGroup par="22" base="0">
        <rangePr groupBy="days" startDate="2021-02-01T00:00:00" endDate="2021-04-02T00:00:00"/>
        <groupItems count="368">
          <s v="&lt;2/1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/2021"/>
        </groupItems>
      </fieldGroup>
    </cacheField>
    <cacheField name="BASE_CNT" numFmtId="0">
      <sharedItems containsSemiMixedTypes="0" containsString="0" containsNumber="1" containsInteger="1" minValue="24866757" maxValue="25101804"/>
    </cacheField>
    <cacheField name="SEG_CNT" numFmtId="0">
      <sharedItems containsSemiMixedTypes="0" containsString="0" containsNumber="1" containsInteger="1" minValue="7987" maxValue="3305509"/>
    </cacheField>
    <cacheField name="AON_SLAB" numFmtId="0">
      <sharedItems count="6">
        <s v="0 - 3 months"/>
        <s v="12 - 24 months"/>
        <s v="3 - 6 months"/>
        <s v="6 - 9 months"/>
        <s v="9 - 12 months"/>
        <s v="GT 24 months"/>
      </sharedItems>
    </cacheField>
    <cacheField name="ARPU_SLAB_IND" numFmtId="0">
      <sharedItems count="12">
        <s v="0 - 10 ARPU"/>
        <s v="10 - 25 ARPU"/>
        <s v="100 - 125 ARPU"/>
        <s v="125 - 150 ARPU"/>
        <s v="150 - 200 ARPU"/>
        <s v="200 - 300 ARPU"/>
        <s v="25 - 50 ARPU"/>
        <s v="300 - 500 ARPU"/>
        <s v="50 - 75 ARPU"/>
        <s v="75 - 100 ARPU"/>
        <s v="GT 500"/>
        <s v="Zero or LT Zero ARPU"/>
      </sharedItems>
    </cacheField>
    <cacheField name="AVGL3MREV" numFmtId="0">
      <sharedItems containsSemiMixedTypes="0" containsString="0" containsNumber="1" minValue="-259048.45979647801" maxValue="417248334.28477103"/>
    </cacheField>
    <cacheField name="L1MR" numFmtId="0">
      <sharedItems containsSemiMixedTypes="0" containsString="0" containsNumber="1" minValue="-281847.09724168503" maxValue="430345340.557311"/>
    </cacheField>
    <cacheField name="L2MR" numFmtId="0">
      <sharedItems containsSemiMixedTypes="0" containsString="0" containsNumber="1" minValue="-289088.77546673198" maxValue="443096285.59273499"/>
    </cacheField>
    <cacheField name="L3MR" numFmtId="0">
      <sharedItems containsSemiMixedTypes="0" containsString="0" containsNumber="1" minValue="-227123.78190478499" maxValue="378303376.70425701"/>
    </cacheField>
    <cacheField name="L1MR_ARPU" numFmtId="0">
      <sharedItems containsSemiMixedTypes="0" containsString="0" containsNumber="1" minValue="-17.448591422131098" maxValue="1165.7432768962799"/>
    </cacheField>
    <cacheField name="L2MR_ARPU" numFmtId="0">
      <sharedItems containsSemiMixedTypes="0" containsString="0" containsNumber="1" minValue="-16.4507355298886" maxValue="976.78504437219101"/>
    </cacheField>
    <cacheField name="L3MR_ARPU" numFmtId="0">
      <sharedItems containsSemiMixedTypes="0" containsString="0" containsNumber="1" minValue="-13.5596287704349" maxValue="784.85719733039696"/>
    </cacheField>
    <cacheField name="Voice_Revenue" numFmtId="0">
      <sharedItems containsSemiMixedTypes="0" containsString="0" containsNumber="1" minValue="6133.98" maxValue="148896054.0686"/>
    </cacheField>
    <cacheField name="Data_revenue" numFmtId="0">
      <sharedItems containsSemiMixedTypes="0" containsString="0" containsNumber="1" minValue="3290.34" maxValue="185905318.69389999"/>
    </cacheField>
    <cacheField name="OG_MOU" numFmtId="0">
      <sharedItems containsSemiMixedTypes="0" containsString="0" containsNumber="1" containsInteger="1" minValue="25230" maxValue="244165330"/>
    </cacheField>
    <cacheField name="IC_MOU" numFmtId="0">
      <sharedItems containsSemiMixedTypes="0" containsString="0" containsNumber="1" containsInteger="1" minValue="35341" maxValue="233982647"/>
    </cacheField>
    <cacheField name="TOTAL_DATA_USAGE_MB" numFmtId="0">
      <sharedItems containsSemiMixedTypes="0" containsString="0" containsNumber="1" minValue="3010322.1330728498" maxValue="3786187501.5596199"/>
    </cacheField>
    <cacheField name="CNT_DOLA_7INC" numFmtId="0">
      <sharedItems containsSemiMixedTypes="0" containsString="0" containsNumber="1" containsInteger="1" minValue="437" maxValue="2445490"/>
    </cacheField>
    <cacheField name="CNT_DOLA_15INC" numFmtId="0">
      <sharedItems containsSemiMixedTypes="0" containsString="0" containsNumber="1" containsInteger="1" minValue="360" maxValue="2263728"/>
    </cacheField>
    <cacheField name="CNT_DOLA_30INC" numFmtId="0">
      <sharedItems containsSemiMixedTypes="0" containsString="0" containsNumber="1" containsInteger="1" minValue="303" maxValue="2099572"/>
    </cacheField>
    <cacheField name="CNT_DOLA_60INC" numFmtId="0">
      <sharedItems containsSemiMixedTypes="0" containsString="0" containsNumber="1" containsInteger="1" minValue="255" maxValue="1527653"/>
    </cacheField>
    <cacheField name="CNT_DOLA_90INC" numFmtId="0">
      <sharedItems containsSemiMixedTypes="0" containsString="0" containsNumber="1" containsInteger="1" minValue="0" maxValue="839303"/>
    </cacheField>
    <cacheField name="Months" numFmtId="0" databaseField="0">
      <fieldGroup base="0">
        <rangePr groupBy="months" startDate="2021-02-01T00:00:00" endDate="2021-04-02T00:00:00"/>
        <groupItems count="14">
          <s v="&lt;2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1"/>
        </groupItems>
      </fieldGroup>
    </cacheField>
    <cacheField name="ARPU" numFmtId="0" formula="AVGL3MREV/SEG_C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, Naveen" refreshedDate="44357.59062372685" createdVersion="6" refreshedVersion="6" minRefreshableVersion="3" recordCount="216" xr:uid="{180DC4E3-69E6-4E2E-AD21-9657C364BD94}">
  <cacheSource type="worksheet">
    <worksheetSource ref="A1:W217" sheet="Compiled"/>
  </cacheSource>
  <cacheFields count="30">
    <cacheField name="DATE" numFmtId="14">
      <sharedItems containsSemiMixedTypes="0" containsNonDate="0" containsDate="1" containsString="0" minDate="2021-02-01T00:00:00" maxDate="2021-04-02T00:00:00" count="3">
        <d v="2021-02-01T00:00:00"/>
        <d v="2021-03-01T00:00:00"/>
        <d v="2021-04-01T00:00:00"/>
      </sharedItems>
      <fieldGroup par="23" base="0">
        <rangePr groupBy="days" startDate="2021-02-01T00:00:00" endDate="2021-04-02T00:00:00"/>
        <groupItems count="368">
          <s v="&lt;2/1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/2021"/>
        </groupItems>
      </fieldGroup>
    </cacheField>
    <cacheField name="BASE_CNT" numFmtId="0">
      <sharedItems containsSemiMixedTypes="0" containsString="0" containsNumber="1" containsInteger="1" minValue="24866757" maxValue="25101804"/>
    </cacheField>
    <cacheField name="SEG_CNT" numFmtId="0">
      <sharedItems containsSemiMixedTypes="0" containsString="0" containsNumber="1" containsInteger="1" minValue="7987" maxValue="3305509"/>
    </cacheField>
    <cacheField name="AON_SLAB" numFmtId="0">
      <sharedItems count="6">
        <s v="0 - 3 months"/>
        <s v="12 - 24 months"/>
        <s v="3 - 6 months"/>
        <s v="6 - 9 months"/>
        <s v="9 - 12 months"/>
        <s v="GT 24 months"/>
      </sharedItems>
    </cacheField>
    <cacheField name="ARPU_SLAB_IND" numFmtId="0">
      <sharedItems count="12">
        <s v="0 - 10 ARPU"/>
        <s v="10 - 25 ARPU"/>
        <s v="100 - 125 ARPU"/>
        <s v="125 - 150 ARPU"/>
        <s v="150 - 200 ARPU"/>
        <s v="200 - 300 ARPU"/>
        <s v="25 - 50 ARPU"/>
        <s v="300 - 500 ARPU"/>
        <s v="50 - 75 ARPU"/>
        <s v="75 - 100 ARPU"/>
        <s v="GT 500"/>
        <s v="Zero or LT Zero ARPU"/>
      </sharedItems>
    </cacheField>
    <cacheField name="AVGL3MREV" numFmtId="0">
      <sharedItems containsSemiMixedTypes="0" containsString="0" containsNumber="1" minValue="-259048.45979647801" maxValue="417248334.28477103"/>
    </cacheField>
    <cacheField name="L1MR" numFmtId="0">
      <sharedItems containsSemiMixedTypes="0" containsString="0" containsNumber="1" minValue="-281847.09724168503" maxValue="430345340.557311"/>
    </cacheField>
    <cacheField name="L2MR" numFmtId="0">
      <sharedItems containsSemiMixedTypes="0" containsString="0" containsNumber="1" minValue="-289088.77546673198" maxValue="443096285.59273499"/>
    </cacheField>
    <cacheField name="L3MR" numFmtId="0">
      <sharedItems containsSemiMixedTypes="0" containsString="0" containsNumber="1" minValue="-227123.78190478499" maxValue="378303376.70425701"/>
    </cacheField>
    <cacheField name="L1MR_ARPU" numFmtId="0">
      <sharedItems containsSemiMixedTypes="0" containsString="0" containsNumber="1" minValue="-17.448591422131098" maxValue="1165.7432768962799"/>
    </cacheField>
    <cacheField name="L2MR_ARPU" numFmtId="0">
      <sharedItems containsSemiMixedTypes="0" containsString="0" containsNumber="1" minValue="-16.4507355298886" maxValue="976.78504437219101"/>
    </cacheField>
    <cacheField name="L3MR_ARPU" numFmtId="0">
      <sharedItems containsSemiMixedTypes="0" containsString="0" containsNumber="1" minValue="-13.5596287704349" maxValue="784.85719733039696"/>
    </cacheField>
    <cacheField name="Voice_Revenue" numFmtId="0">
      <sharedItems containsSemiMixedTypes="0" containsString="0" containsNumber="1" minValue="6133.98" maxValue="148896054.0686"/>
    </cacheField>
    <cacheField name="Data_revenue" numFmtId="0">
      <sharedItems containsSemiMixedTypes="0" containsString="0" containsNumber="1" minValue="3290.34" maxValue="185905318.69389999"/>
    </cacheField>
    <cacheField name="OG_MOU" numFmtId="0">
      <sharedItems containsSemiMixedTypes="0" containsString="0" containsNumber="1" containsInteger="1" minValue="25230" maxValue="244165330"/>
    </cacheField>
    <cacheField name="IC_MOU" numFmtId="0">
      <sharedItems containsSemiMixedTypes="0" containsString="0" containsNumber="1" containsInteger="1" minValue="35341" maxValue="233982647"/>
    </cacheField>
    <cacheField name="TOTAL_DATA_USAGE_MB" numFmtId="0">
      <sharedItems containsSemiMixedTypes="0" containsString="0" containsNumber="1" minValue="3010322.1330728498" maxValue="3786187501.5596199"/>
    </cacheField>
    <cacheField name="CNT_DOLA_7INC" numFmtId="0">
      <sharedItems containsSemiMixedTypes="0" containsString="0" containsNumber="1" containsInteger="1" minValue="437" maxValue="2445490"/>
    </cacheField>
    <cacheField name="CNT_DOLA_15INC" numFmtId="0">
      <sharedItems containsSemiMixedTypes="0" containsString="0" containsNumber="1" containsInteger="1" minValue="360" maxValue="2263728"/>
    </cacheField>
    <cacheField name="CNT_DOLA_30INC" numFmtId="0">
      <sharedItems containsSemiMixedTypes="0" containsString="0" containsNumber="1" containsInteger="1" minValue="303" maxValue="2099572"/>
    </cacheField>
    <cacheField name="CNT_DOLA_60INC" numFmtId="0">
      <sharedItems containsSemiMixedTypes="0" containsString="0" containsNumber="1" containsInteger="1" minValue="255" maxValue="1527653"/>
    </cacheField>
    <cacheField name="CNT_DOLA_90INC" numFmtId="0">
      <sharedItems containsSemiMixedTypes="0" containsString="0" containsNumber="1" containsInteger="1" minValue="0" maxValue="839303"/>
    </cacheField>
    <cacheField name="ARPU_Seg" numFmtId="0">
      <sharedItems count="4">
        <s v="Low"/>
        <s v="Medium"/>
        <s v="High"/>
        <s v="VHigh"/>
      </sharedItems>
    </cacheField>
    <cacheField name="Months" numFmtId="0" databaseField="0">
      <fieldGroup base="0">
        <rangePr groupBy="months" startDate="2021-02-01T00:00:00" endDate="2021-04-02T00:00:00"/>
        <groupItems count="14">
          <s v="&lt;2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1"/>
        </groupItems>
      </fieldGroup>
    </cacheField>
    <cacheField name="ARPU" numFmtId="0" formula="AVGL3MREV/SEG_CNT" databaseField="0"/>
    <cacheField name="7DI%" numFmtId="0" formula="CNT_DOLA_7INC/SEG_CNT" databaseField="0"/>
    <cacheField name="15DI%" numFmtId="0" formula="CNT_DOLA_15INC/SEG_CNT" databaseField="0"/>
    <cacheField name="30DI%" numFmtId="0" formula="CNT_DOLA_30INC/SEG_CNT" databaseField="0"/>
    <cacheField name="60DI%" numFmtId="0" formula="CNT_DOLA_60INC/SEG_CNT" databaseField="0"/>
    <cacheField name="90DI%" numFmtId="0" formula="CNT_DOLA_90INC/SEG_C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, Naveen" refreshedDate="44350.921129513888" createdVersion="6" refreshedVersion="6" minRefreshableVersion="3" recordCount="12" xr:uid="{C6D7F7A3-081C-421B-886F-633FDA5D4885}">
  <cacheSource type="worksheet">
    <worksheetSource ref="A26:Q38" sheet="Aon&gt;=90" r:id="rId2"/>
  </cacheSource>
  <cacheFields count="17">
    <cacheField name="ARPU_Segment" numFmtId="0">
      <sharedItems count="4">
        <s v="Low"/>
        <s v="Medium"/>
        <s v="High"/>
        <s v="VHigh"/>
      </sharedItems>
    </cacheField>
    <cacheField name="ARPU_SLAB_IND" numFmtId="0">
      <sharedItems/>
    </cacheField>
    <cacheField name="Sum of SEG_CNT" numFmtId="0">
      <sharedItems containsSemiMixedTypes="0" containsString="0" containsNumber="1" containsInteger="1" minValue="94966" maxValue="5417635"/>
    </cacheField>
    <cacheField name="Sum of AVGL3MREV" numFmtId="0">
      <sharedItems containsSemiMixedTypes="0" containsString="0" containsNumber="1" minValue="-661944.6577967708" maxValue="426206013.15944153"/>
    </cacheField>
    <cacheField name=" SEG_CNT" numFmtId="0">
      <sharedItems containsSemiMixedTypes="0" containsString="0" containsNumber="1" minValue="4.9209375617766385E-3" maxValue="0.28073040422357243"/>
    </cacheField>
    <cacheField name=" AVGL3MREV" numFmtId="0">
      <sharedItems containsSemiMixedTypes="0" containsString="0" containsNumber="1" minValue="-3.7957271921031978E-4" maxValue="0.24439531832944683"/>
    </cacheField>
    <cacheField name=" apru" numFmtId="0">
      <sharedItems containsSemiMixedTypes="0" containsString="0" containsNumber="1" minValue="-6.9703331486718492" maxValue="797.57402654944917"/>
    </cacheField>
    <cacheField name=" CNT_DOLA_7INC" numFmtId="0">
      <sharedItems containsSemiMixedTypes="0" containsString="0" containsNumber="1" containsInteger="1" minValue="5713" maxValue="3640977"/>
    </cacheField>
    <cacheField name=" CNT_DOLA_15INC" numFmtId="0">
      <sharedItems containsSemiMixedTypes="0" containsString="0" containsNumber="1" containsInteger="1" minValue="4551" maxValue="3093904"/>
    </cacheField>
    <cacheField name=" CNT_DOLA_30INC" numFmtId="0">
      <sharedItems containsSemiMixedTypes="0" containsString="0" containsNumber="1" containsInteger="1" minValue="3710" maxValue="2561277"/>
    </cacheField>
    <cacheField name=" CNT_DOLA_60INC" numFmtId="0">
      <sharedItems containsSemiMixedTypes="0" containsString="0" containsNumber="1" containsInteger="1" minValue="3013" maxValue="1334219"/>
    </cacheField>
    <cacheField name=" CNT_DOLA_90INC" numFmtId="0">
      <sharedItems containsSemiMixedTypes="0" containsString="0" containsNumber="1" containsInteger="1" minValue="1939" maxValue="678701"/>
    </cacheField>
    <cacheField name=" 7dy_inactivity" numFmtId="0">
      <sharedItems containsSemiMixedTypes="0" containsString="0" containsNumber="1" minValue="1.0690934132767442E-2" maxValue="0.67206022554121858"/>
    </cacheField>
    <cacheField name=" 15dy_inactivity" numFmtId="0">
      <sharedItems containsSemiMixedTypes="0" containsString="0" containsNumber="1" minValue="8.5164434164580124E-3" maxValue="0.57108018535763294"/>
    </cacheField>
    <cacheField name=" 30dy_inactivity" numFmtId="0">
      <sharedItems containsSemiMixedTypes="0" containsString="0" containsNumber="1" minValue="6.9426510821927545E-3" maxValue="0.47276662233613004"/>
    </cacheField>
    <cacheField name="60dys_inactivity" numFmtId="0">
      <sharedItems containsSemiMixedTypes="0" containsString="0" containsNumber="1" minValue="5.6383309193117981E-3" maxValue="0.24627332775279251"/>
    </cacheField>
    <cacheField name="90dys_inactivity" numFmtId="0">
      <sharedItems containsSemiMixedTypes="0" containsString="0" containsNumber="1" minValue="3.6285176410705529E-3" maxValue="0.125276250614890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n v="24998823"/>
    <n v="3305509"/>
    <x v="0"/>
    <x v="0"/>
    <n v="7722060.5754617499"/>
    <n v="13288873.143876299"/>
    <n v="6501996.0146623002"/>
    <n v="3375312.5678735599"/>
    <n v="4.0202199249423796"/>
    <n v="1.9670180945392299"/>
    <n v="1.02111734316063"/>
    <n v="7029842.73999428"/>
    <n v="3357101.60000091"/>
    <n v="8381050"/>
    <n v="16598795"/>
    <n v="1024369032.5074"/>
    <n v="2374613"/>
    <n v="2164288"/>
    <n v="2003728"/>
    <n v="1419706"/>
    <n v="770951"/>
  </r>
  <r>
    <x v="0"/>
    <n v="24998823"/>
    <n v="1183742"/>
    <x v="0"/>
    <x v="1"/>
    <n v="17434475.8258694"/>
    <n v="29233559.4290605"/>
    <n v="15194447.564633001"/>
    <n v="7875420.4839303698"/>
    <n v="24.695887641952801"/>
    <n v="12.835945302804999"/>
    <n v="6.6529872927803302"/>
    <n v="12017721.530002501"/>
    <n v="8628754.2309002895"/>
    <n v="16673168"/>
    <n v="20410798"/>
    <n v="680126355.448138"/>
    <n v="640519"/>
    <n v="584395"/>
    <n v="549121"/>
    <n v="404751"/>
    <n v="223102"/>
  </r>
  <r>
    <x v="0"/>
    <n v="24998823"/>
    <n v="64610"/>
    <x v="0"/>
    <x v="2"/>
    <n v="7197556.7864774298"/>
    <n v="11626685.0240834"/>
    <n v="7296940.23619112"/>
    <n v="2669045.0991578801"/>
    <n v="179.951788021721"/>
    <n v="112.938248509381"/>
    <n v="41.310092851847699"/>
    <n v="4573523.6599999601"/>
    <n v="4066469.8500000201"/>
    <n v="7071441"/>
    <n v="6097574"/>
    <n v="197036602.45180801"/>
    <n v="10753"/>
    <n v="9404"/>
    <n v="8563"/>
    <n v="7329"/>
    <n v="4424"/>
  </r>
  <r>
    <x v="0"/>
    <n v="24998823"/>
    <n v="40777"/>
    <x v="0"/>
    <x v="3"/>
    <n v="5570106.5072485702"/>
    <n v="8886996.9221996292"/>
    <n v="5704191.1895327903"/>
    <n v="2119131.41001336"/>
    <n v="217.94141114352701"/>
    <n v="139.887465716771"/>
    <n v="51.9687914759145"/>
    <n v="3421065.5499999798"/>
    <n v="3235683.45"/>
    <n v="5254319"/>
    <n v="4330380"/>
    <n v="147590106.97904301"/>
    <n v="6313"/>
    <n v="5561"/>
    <n v="5070"/>
    <n v="4328"/>
    <n v="2598"/>
  </r>
  <r>
    <x v="0"/>
    <n v="24998823"/>
    <n v="45011"/>
    <x v="0"/>
    <x v="4"/>
    <n v="7729045.2400107998"/>
    <n v="12197508.4418154"/>
    <n v="8020110.9448688803"/>
    <n v="2969516.3333480801"/>
    <n v="270.98950127336599"/>
    <n v="178.18113227586301"/>
    <n v="65.9731250882692"/>
    <n v="4550425.4899999704"/>
    <n v="4656805.7300000004"/>
    <n v="6849945"/>
    <n v="5403248"/>
    <n v="203477860.18056199"/>
    <n v="6282"/>
    <n v="5566"/>
    <n v="5046"/>
    <n v="4331"/>
    <n v="2619"/>
  </r>
  <r>
    <x v="0"/>
    <n v="24998823"/>
    <n v="35053"/>
    <x v="0"/>
    <x v="5"/>
    <n v="8433758.4341769498"/>
    <n v="13039557.389473399"/>
    <n v="8867437.9917838201"/>
    <n v="3394279.9212736702"/>
    <n v="371.995475122627"/>
    <n v="252.97229885555601"/>
    <n v="96.832793805770507"/>
    <n v="4832081.2099999804"/>
    <n v="5290285.9109000098"/>
    <n v="6884552"/>
    <n v="5222454"/>
    <n v="205356855.011814"/>
    <n v="4227"/>
    <n v="3797"/>
    <n v="3448"/>
    <n v="3029"/>
    <n v="1809"/>
  </r>
  <r>
    <x v="0"/>
    <n v="24998823"/>
    <n v="543336"/>
    <x v="0"/>
    <x v="6"/>
    <n v="19228946.6538167"/>
    <n v="33903011.168003596"/>
    <n v="17306437.094691001"/>
    <n v="6477391.6987587102"/>
    <n v="62.397873816576897"/>
    <n v="31.852181881360799"/>
    <n v="11.9215213031323"/>
    <n v="14696575.210002"/>
    <n v="10910009.291799599"/>
    <n v="20683127"/>
    <n v="23311441"/>
    <n v="625877088.954144"/>
    <n v="156754"/>
    <n v="132691"/>
    <n v="118857"/>
    <n v="96080"/>
    <n v="55805"/>
  </r>
  <r>
    <x v="0"/>
    <n v="24998823"/>
    <n v="18661"/>
    <x v="0"/>
    <x v="7"/>
    <n v="6979374.3546250798"/>
    <n v="10486324.328720501"/>
    <n v="7506629.5271810899"/>
    <n v="2945169.20797366"/>
    <n v="561.93796306310196"/>
    <n v="402.262983075992"/>
    <n v="157.82483296573901"/>
    <n v="3753827.06"/>
    <n v="4707854.46"/>
    <n v="4939253"/>
    <n v="3814994"/>
    <n v="150898980.45719799"/>
    <n v="1794"/>
    <n v="1632"/>
    <n v="1500"/>
    <n v="1322"/>
    <n v="852"/>
  </r>
  <r>
    <x v="0"/>
    <n v="24998823"/>
    <n v="226778"/>
    <x v="0"/>
    <x v="8"/>
    <n v="13820003.234820999"/>
    <n v="23473532.925982099"/>
    <n v="13189992.250890899"/>
    <n v="4796484.5275907395"/>
    <n v="103.508862967228"/>
    <n v="58.162574195428803"/>
    <n v="21.1505724875902"/>
    <n v="9645476.0099998899"/>
    <n v="7829878.3918000897"/>
    <n v="14357180"/>
    <n v="14373727"/>
    <n v="415580481.01681602"/>
    <n v="50487"/>
    <n v="43431"/>
    <n v="39153"/>
    <n v="32589"/>
    <n v="19232"/>
  </r>
  <r>
    <x v="0"/>
    <n v="24998823"/>
    <n v="114773"/>
    <x v="0"/>
    <x v="9"/>
    <n v="9894306.5251614992"/>
    <n v="16286878.868586101"/>
    <n v="9794714.9132440109"/>
    <n v="3601325.79365467"/>
    <n v="141.905142050709"/>
    <n v="85.339887545363595"/>
    <n v="31.377813541988701"/>
    <n v="6541965.7099998696"/>
    <n v="5614148.5300000403"/>
    <n v="9879655"/>
    <n v="9017273"/>
    <n v="275030474.12438297"/>
    <n v="21683"/>
    <n v="18773"/>
    <n v="16936"/>
    <n v="14160"/>
    <n v="8462"/>
  </r>
  <r>
    <x v="0"/>
    <n v="24998823"/>
    <n v="7987"/>
    <x v="0"/>
    <x v="10"/>
    <n v="6387649.0510584395"/>
    <n v="9048940.1384566091"/>
    <n v="7042143.3391482998"/>
    <n v="3071863.67557044"/>
    <n v="1132.9585749914299"/>
    <n v="881.70068100016204"/>
    <n v="384.60794736076701"/>
    <n v="2846476.77999999"/>
    <n v="4715441.87"/>
    <n v="3099015"/>
    <n v="2351614"/>
    <n v="122423838.77688199"/>
    <n v="669"/>
    <n v="609"/>
    <n v="539"/>
    <n v="451"/>
    <n v="274"/>
  </r>
  <r>
    <x v="0"/>
    <n v="24998823"/>
    <n v="114225"/>
    <x v="0"/>
    <x v="11"/>
    <n v="-125005.781891647"/>
    <n v="-182304.31944256401"/>
    <n v="-102566.013604497"/>
    <n v="-90147.012627881501"/>
    <n v="-1.5960106757939501"/>
    <n v="-0.89792964416281595"/>
    <n v="-0.789205625982766"/>
    <n v="46717.539999999797"/>
    <n v="10047.290000000001"/>
    <n v="215141"/>
    <n v="149968"/>
    <n v="889549782.10987496"/>
    <n v="43905"/>
    <n v="40752"/>
    <n v="38103"/>
    <n v="28696"/>
    <n v="19674"/>
  </r>
  <r>
    <x v="0"/>
    <n v="24998823"/>
    <n v="1031232"/>
    <x v="1"/>
    <x v="0"/>
    <n v="3025596.6037946101"/>
    <n v="2414604.73093731"/>
    <n v="2586198.33256413"/>
    <n v="4075986.74788384"/>
    <n v="2.3414757600009599"/>
    <n v="2.5078724598966402"/>
    <n v="3.9525409877543001"/>
    <n v="907190.17000001704"/>
    <n v="448347.16999999102"/>
    <n v="1677106"/>
    <n v="14229956"/>
    <n v="501274878.24608302"/>
    <n v="690064"/>
    <n v="576172"/>
    <n v="476119"/>
    <n v="264814"/>
    <n v="137098"/>
  </r>
  <r>
    <x v="0"/>
    <n v="24998823"/>
    <n v="525589"/>
    <x v="1"/>
    <x v="1"/>
    <n v="8828997.6092667207"/>
    <n v="7862243.4520495199"/>
    <n v="7995789.3541188501"/>
    <n v="10628960.0216332"/>
    <n v="14.9589193305977"/>
    <n v="15.2130074147648"/>
    <n v="20.222949912637599"/>
    <n v="3054607.6299998001"/>
    <n v="2101131.3009000798"/>
    <n v="5788184"/>
    <n v="18751927"/>
    <n v="144050704.531746"/>
    <n v="204713"/>
    <n v="156278"/>
    <n v="127014"/>
    <n v="81335"/>
    <n v="39827"/>
  </r>
  <r>
    <x v="0"/>
    <n v="24998823"/>
    <n v="147765"/>
    <x v="1"/>
    <x v="2"/>
    <n v="16516154.9300771"/>
    <n v="16396513.7332005"/>
    <n v="16459566.158425201"/>
    <n v="16692384.8986056"/>
    <n v="110.963446913684"/>
    <n v="111.390154356073"/>
    <n v="112.9657557514"/>
    <n v="5127447.4799999204"/>
    <n v="6217551.1109000398"/>
    <n v="8599250"/>
    <n v="17521192"/>
    <n v="204674477.79559299"/>
    <n v="12681"/>
    <n v="9620"/>
    <n v="7900"/>
    <n v="6127"/>
    <n v="3305"/>
  </r>
  <r>
    <x v="0"/>
    <n v="24998823"/>
    <n v="105900"/>
    <x v="1"/>
    <x v="3"/>
    <n v="14488263.8691018"/>
    <n v="14457115.984259199"/>
    <n v="14500540.596999601"/>
    <n v="14507135.026046701"/>
    <n v="136.51667596089899"/>
    <n v="136.92672896128099"/>
    <n v="136.988999301669"/>
    <n v="4418665.7999999505"/>
    <n v="5555397.7509000199"/>
    <n v="7648161"/>
    <n v="14070521"/>
    <n v="177189225.84945399"/>
    <n v="7578"/>
    <n v="5905"/>
    <n v="4853"/>
    <n v="3850"/>
    <n v="2120"/>
  </r>
  <r>
    <x v="0"/>
    <n v="24998823"/>
    <n v="136800"/>
    <x v="1"/>
    <x v="4"/>
    <n v="23625305.762217801"/>
    <n v="23702776.630633801"/>
    <n v="23660263.5404393"/>
    <n v="23512877.115580302"/>
    <n v="173.265911042645"/>
    <n v="172.95514283946801"/>
    <n v="171.87775669283801"/>
    <n v="6946743.1699999198"/>
    <n v="9348952.5108999908"/>
    <n v="12532353"/>
    <n v="20675457"/>
    <n v="287599513.32980502"/>
    <n v="8099"/>
    <n v="6281"/>
    <n v="5151"/>
    <n v="3991"/>
    <n v="2275"/>
  </r>
  <r>
    <x v="0"/>
    <n v="24998823"/>
    <n v="136033"/>
    <x v="1"/>
    <x v="5"/>
    <n v="33024147.570412401"/>
    <n v="33259141.3208584"/>
    <n v="33118220.444815502"/>
    <n v="32695080.9455637"/>
    <n v="244.49318416015501"/>
    <n v="243.45725261381801"/>
    <n v="240.346687535846"/>
    <n v="9419073.5100000091"/>
    <n v="13482246.5717999"/>
    <n v="17708864"/>
    <n v="24241001"/>
    <n v="386900877.56818002"/>
    <n v="6007"/>
    <n v="4697"/>
    <n v="3905"/>
    <n v="3146"/>
    <n v="1691"/>
  </r>
  <r>
    <x v="0"/>
    <n v="24998823"/>
    <n v="523516"/>
    <x v="1"/>
    <x v="6"/>
    <n v="19055532.756257799"/>
    <n v="17936604.9523068"/>
    <n v="18234137.4784819"/>
    <n v="20995855.837986"/>
    <n v="34.2618085260181"/>
    <n v="34.830143641229597"/>
    <n v="40.105471156537803"/>
    <n v="6616588.7999993302"/>
    <n v="5679406.0300001502"/>
    <n v="11219160"/>
    <n v="30459480"/>
    <n v="263600671.99525601"/>
    <n v="123899"/>
    <n v="92724"/>
    <n v="75341"/>
    <n v="53326"/>
    <n v="26101"/>
  </r>
  <r>
    <x v="0"/>
    <n v="24998823"/>
    <n v="95244"/>
    <x v="1"/>
    <x v="7"/>
    <n v="36173549.412644401"/>
    <n v="36696087.453901"/>
    <n v="36135894.981107503"/>
    <n v="35688665.8029247"/>
    <n v="385.28503059406398"/>
    <n v="379.403374292423"/>
    <n v="374.70775904964898"/>
    <n v="10081712.609999999"/>
    <n v="15599206.6126999"/>
    <n v="19149529"/>
    <n v="21007946"/>
    <n v="393648921.68808103"/>
    <n v="2897"/>
    <n v="2348"/>
    <n v="1955"/>
    <n v="1628"/>
    <n v="979"/>
  </r>
  <r>
    <x v="0"/>
    <n v="24998823"/>
    <n v="325910"/>
    <x v="1"/>
    <x v="8"/>
    <n v="20071305.461046699"/>
    <n v="19471685.289147299"/>
    <n v="19685013.941256799"/>
    <n v="21057217.1527366"/>
    <n v="59.745590160312197"/>
    <n v="60.400153236343698"/>
    <n v="64.610527914874197"/>
    <n v="6687057.23999965"/>
    <n v="6885182.0909000998"/>
    <n v="10696497"/>
    <n v="26443758"/>
    <n v="265291757.27155399"/>
    <n v="48777"/>
    <n v="36208"/>
    <n v="29569"/>
    <n v="22235"/>
    <n v="11273"/>
  </r>
  <r>
    <x v="0"/>
    <n v="24998823"/>
    <n v="214569"/>
    <x v="1"/>
    <x v="9"/>
    <n v="18602323.880293701"/>
    <n v="18334212.2889295"/>
    <n v="18465758.5041916"/>
    <n v="19007000.847759999"/>
    <n v="85.446696815148002"/>
    <n v="86.059768672043106"/>
    <n v="88.582231579398893"/>
    <n v="5964186.3299997998"/>
    <n v="6785844.0536000701"/>
    <n v="9613399"/>
    <n v="21824337"/>
    <n v="237091615.69664499"/>
    <n v="23182"/>
    <n v="17502"/>
    <n v="14303"/>
    <n v="11017"/>
    <n v="5803"/>
  </r>
  <r>
    <x v="0"/>
    <n v="24998823"/>
    <n v="58779"/>
    <x v="1"/>
    <x v="10"/>
    <n v="46819100.912723802"/>
    <n v="48223070.106115401"/>
    <n v="46101111.430172898"/>
    <n v="46133121.201883398"/>
    <n v="820.41324463014701"/>
    <n v="784.31261896549597"/>
    <n v="784.85719733039696"/>
    <n v="13937553.34"/>
    <n v="23242456.152699899"/>
    <n v="20759681"/>
    <n v="18137472"/>
    <n v="501651564.41780001"/>
    <n v="1130"/>
    <n v="894"/>
    <n v="753"/>
    <n v="616"/>
    <n v="385"/>
  </r>
  <r>
    <x v="0"/>
    <n v="24998823"/>
    <n v="15567"/>
    <x v="1"/>
    <x v="11"/>
    <n v="-70089.340477682199"/>
    <n v="-74597.738937742499"/>
    <n v="-65481.787181744803"/>
    <n v="-70188.495313559004"/>
    <n v="-4.7920433569565404"/>
    <n v="-4.2064487172701703"/>
    <n v="-4.5088003670301902"/>
    <n v="12523.47"/>
    <n v="5786.03999999999"/>
    <n v="27564"/>
    <n v="84266"/>
    <n v="720652302.90063202"/>
    <n v="6579"/>
    <n v="5882"/>
    <n v="4833"/>
    <n v="3087"/>
    <n v="2240"/>
  </r>
  <r>
    <x v="0"/>
    <n v="24998823"/>
    <n v="1523993"/>
    <x v="2"/>
    <x v="0"/>
    <n v="4118810.3659062702"/>
    <n v="2612132.52948137"/>
    <n v="3176401.0018632198"/>
    <n v="6567897.5663804803"/>
    <n v="1.7140055954859199"/>
    <n v="2.08426219927731"/>
    <n v="4.3096638674721497"/>
    <n v="1103183.77999998"/>
    <n v="516354.67999999202"/>
    <n v="2115765"/>
    <n v="9625341"/>
    <n v="430005602.49894798"/>
    <n v="1225831"/>
    <n v="1101307"/>
    <n v="927959"/>
    <n v="440034"/>
    <n v="215046"/>
  </r>
  <r>
    <x v="0"/>
    <n v="24998823"/>
    <n v="611369"/>
    <x v="2"/>
    <x v="1"/>
    <n v="9960164.0834476706"/>
    <n v="7533148.4499452002"/>
    <n v="8381267.5288535701"/>
    <n v="13966076.2715481"/>
    <n v="12.321770403708999"/>
    <n v="13.709016206012301"/>
    <n v="22.8439392110953"/>
    <n v="3067761.06999976"/>
    <n v="2004641.0400000501"/>
    <n v="5983703"/>
    <n v="10879614"/>
    <n v="164865976.11620599"/>
    <n v="357679"/>
    <n v="309366"/>
    <n v="275390"/>
    <n v="160597"/>
    <n v="75590"/>
  </r>
  <r>
    <x v="0"/>
    <n v="24998823"/>
    <n v="99269"/>
    <x v="2"/>
    <x v="2"/>
    <n v="11078773.861659"/>
    <n v="10512103.9025447"/>
    <n v="11043082.5058043"/>
    <n v="11681135.1766279"/>
    <n v="105.89513244361"/>
    <n v="111.24401883573201"/>
    <n v="117.67153065537001"/>
    <n v="3926654.10999995"/>
    <n v="3602129.5000000098"/>
    <n v="7140781"/>
    <n v="8909441"/>
    <n v="165720787.90605"/>
    <n v="19045"/>
    <n v="16020"/>
    <n v="14206"/>
    <n v="11376"/>
    <n v="6340"/>
  </r>
  <r>
    <x v="0"/>
    <n v="24998823"/>
    <n v="66076"/>
    <x v="2"/>
    <x v="3"/>
    <n v="9029276.5098525696"/>
    <n v="8706278.2472579293"/>
    <n v="9031129.9614002891"/>
    <n v="9350421.3208995201"/>
    <n v="131.76158131935799"/>
    <n v="136.67791575459"/>
    <n v="141.51009929323001"/>
    <n v="3201914.4099999899"/>
    <n v="3029454.9208999998"/>
    <n v="5922737"/>
    <n v="6851199"/>
    <n v="132765071.896936"/>
    <n v="11242"/>
    <n v="9505"/>
    <n v="8371"/>
    <n v="6738"/>
    <n v="3790"/>
  </r>
  <r>
    <x v="0"/>
    <n v="24998823"/>
    <n v="79528"/>
    <x v="2"/>
    <x v="4"/>
    <n v="13695405.323764"/>
    <n v="13399427.039037799"/>
    <n v="13719843.8622512"/>
    <n v="13966945.0700029"/>
    <n v="168.48691076146599"/>
    <n v="172.515892041184"/>
    <n v="175.62298901019699"/>
    <n v="4922184.0599999595"/>
    <n v="4728523.8209000099"/>
    <n v="9071419"/>
    <n v="9603130"/>
    <n v="199083844.83686301"/>
    <n v="11844"/>
    <n v="9975"/>
    <n v="8838"/>
    <n v="7223"/>
    <n v="4168"/>
  </r>
  <r>
    <x v="0"/>
    <n v="24998823"/>
    <n v="69582"/>
    <x v="2"/>
    <x v="5"/>
    <n v="16819520.799621999"/>
    <n v="16800413.8583478"/>
    <n v="16856821.976252101"/>
    <n v="16801326.564266101"/>
    <n v="241.44769995613501"/>
    <n v="242.258371076602"/>
    <n v="241.46081693923799"/>
    <n v="5980909.77999999"/>
    <n v="6195517.9200000102"/>
    <n v="11124969"/>
    <n v="10442450"/>
    <n v="242264157.495289"/>
    <n v="8322"/>
    <n v="7063"/>
    <n v="6244"/>
    <n v="5132"/>
    <n v="3047"/>
  </r>
  <r>
    <x v="0"/>
    <n v="24998823"/>
    <n v="488583"/>
    <x v="2"/>
    <x v="6"/>
    <n v="17597041.8140455"/>
    <n v="15032598.418943901"/>
    <n v="16451487.805598199"/>
    <n v="21307039.217596699"/>
    <n v="30.767747586272801"/>
    <n v="33.671838368502797"/>
    <n v="43.609866118134903"/>
    <n v="5998749.4299993701"/>
    <n v="4608319.9909001198"/>
    <n v="10696039"/>
    <n v="17616832"/>
    <n v="272421672.62926298"/>
    <n v="194934"/>
    <n v="163518"/>
    <n v="144529"/>
    <n v="101879"/>
    <n v="49467"/>
  </r>
  <r>
    <x v="0"/>
    <n v="24998823"/>
    <n v="41986"/>
    <x v="2"/>
    <x v="7"/>
    <n v="15814193.9848198"/>
    <n v="16111528.265006799"/>
    <n v="15810254.6174039"/>
    <n v="15520799.0720488"/>
    <n v="383.73572774274197"/>
    <n v="376.56015379897798"/>
    <n v="369.66605706780501"/>
    <n v="5618471.54999997"/>
    <n v="6388121.3400000101"/>
    <n v="9878584"/>
    <n v="8253473"/>
    <n v="216767545.00587001"/>
    <n v="3751"/>
    <n v="3219"/>
    <n v="2842"/>
    <n v="2398"/>
    <n v="1477"/>
  </r>
  <r>
    <x v="0"/>
    <n v="24998823"/>
    <n v="262268"/>
    <x v="2"/>
    <x v="8"/>
    <n v="16095084.506738899"/>
    <n v="14475174.933059299"/>
    <n v="15655491.886292901"/>
    <n v="18154586.700865"/>
    <n v="55.192303037577197"/>
    <n v="59.692726090460603"/>
    <n v="69.221508917843593"/>
    <n v="5651882.6499997396"/>
    <n v="4758465.7500000596"/>
    <n v="9665654"/>
    <n v="14774765"/>
    <n v="243456155.074918"/>
    <n v="75432"/>
    <n v="63074"/>
    <n v="55669"/>
    <n v="42292"/>
    <n v="21577"/>
  </r>
  <r>
    <x v="0"/>
    <n v="24998823"/>
    <n v="155880"/>
    <x v="2"/>
    <x v="9"/>
    <n v="13483533.5900426"/>
    <n v="12520627.403354401"/>
    <n v="13333339.8643618"/>
    <n v="14596633.5024119"/>
    <n v="80.322218394626802"/>
    <n v="85.5359242004224"/>
    <n v="93.640194395765604"/>
    <n v="4754683.1999999201"/>
    <n v="4243082.4709000299"/>
    <n v="8456721"/>
    <n v="11514168"/>
    <n v="200537782.83456501"/>
    <n v="35961"/>
    <n v="30059"/>
    <n v="26639"/>
    <n v="20891"/>
    <n v="11170"/>
  </r>
  <r>
    <x v="0"/>
    <n v="24998823"/>
    <n v="21234"/>
    <x v="2"/>
    <x v="10"/>
    <n v="16493759.508958699"/>
    <n v="16972476.072350901"/>
    <n v="16184482.5611597"/>
    <n v="16324319.8933657"/>
    <n v="799.30658718804398"/>
    <n v="762.19659796362896"/>
    <n v="768.78213682611602"/>
    <n v="5854713.6099999798"/>
    <n v="7971318.0099999905"/>
    <n v="8020566"/>
    <n v="6484613"/>
    <n v="226998738.963626"/>
    <n v="1364"/>
    <n v="1183"/>
    <n v="1034"/>
    <n v="880"/>
    <n v="582"/>
  </r>
  <r>
    <x v="0"/>
    <n v="24998823"/>
    <n v="27302"/>
    <x v="2"/>
    <x v="11"/>
    <n v="-131604.82757620999"/>
    <n v="-178179.904790014"/>
    <n v="-110984.710937878"/>
    <n v="-105649.867000741"/>
    <n v="-6.5262583250316597"/>
    <n v="-4.0650762192468699"/>
    <n v="-3.8696750055212399"/>
    <n v="17365.749999999902"/>
    <n v="5246.08"/>
    <n v="300279"/>
    <n v="1129577"/>
    <n v="429677364.40892601"/>
    <n v="13097"/>
    <n v="11602"/>
    <n v="9210"/>
    <n v="4930"/>
    <n v="3183"/>
  </r>
  <r>
    <x v="0"/>
    <n v="24998823"/>
    <n v="895156"/>
    <x v="3"/>
    <x v="0"/>
    <n v="2578779.3259579702"/>
    <n v="1896116.6244079201"/>
    <n v="2044776.80275592"/>
    <n v="3795444.5507103801"/>
    <n v="2.1181968555289998"/>
    <n v="2.2842686668646799"/>
    <n v="4.23998113257396"/>
    <n v="699764.77000001702"/>
    <n v="357046.46999999601"/>
    <n v="1402224"/>
    <n v="6630390"/>
    <n v="389945607.51912099"/>
    <n v="667567"/>
    <n v="581087"/>
    <n v="495588"/>
    <n v="266104"/>
    <n v="135182"/>
  </r>
  <r>
    <x v="0"/>
    <n v="24998823"/>
    <n v="396348"/>
    <x v="3"/>
    <x v="1"/>
    <n v="6573902.27350464"/>
    <n v="5358979.4463857897"/>
    <n v="5680622.1652016304"/>
    <n v="8682105.2089278102"/>
    <n v="13.5208943816691"/>
    <n v="14.3324103192185"/>
    <n v="21.905258028116201"/>
    <n v="1978834.3199998999"/>
    <n v="1473521.5300000201"/>
    <n v="4250888"/>
    <n v="9346266"/>
    <n v="117201313.01606899"/>
    <n v="199702"/>
    <n v="163822"/>
    <n v="140534"/>
    <n v="91151"/>
    <n v="44636"/>
  </r>
  <r>
    <x v="0"/>
    <n v="24998823"/>
    <n v="71957"/>
    <x v="3"/>
    <x v="2"/>
    <n v="8033837.0702037103"/>
    <n v="7829619.2893656502"/>
    <n v="7899819.7403109502"/>
    <n v="8372072.1809346098"/>
    <n v="108.809695920697"/>
    <n v="109.785284827201"/>
    <n v="116.348266060767"/>
    <n v="2516221.2999999798"/>
    <n v="2792847.5"/>
    <n v="5503872"/>
    <n v="7188781"/>
    <n v="130940058.887741"/>
    <n v="9929"/>
    <n v="7933"/>
    <n v="6820"/>
    <n v="5604"/>
    <n v="3183"/>
  </r>
  <r>
    <x v="0"/>
    <n v="24998823"/>
    <n v="49187"/>
    <x v="3"/>
    <x v="3"/>
    <n v="6723675.2037776299"/>
    <n v="6628405.7708493201"/>
    <n v="6630296.1374288201"/>
    <n v="6912323.7030547401"/>
    <n v="134.75930166200999"/>
    <n v="134.79773390182001"/>
    <n v="140.53151651970501"/>
    <n v="2064426.56999998"/>
    <n v="2411726.2718000002"/>
    <n v="4727492"/>
    <n v="5538124"/>
    <n v="109251558.274702"/>
    <n v="5912"/>
    <n v="4795"/>
    <n v="4120"/>
    <n v="3363"/>
    <n v="1937"/>
  </r>
  <r>
    <x v="0"/>
    <n v="24998823"/>
    <n v="58628"/>
    <x v="3"/>
    <x v="4"/>
    <n v="10102572.903965"/>
    <n v="10051582.7143417"/>
    <n v="9990284.0557850301"/>
    <n v="10265851.9417683"/>
    <n v="171.446795291358"/>
    <n v="170.40124267901001"/>
    <n v="175.10152046408399"/>
    <n v="3058410.9499999802"/>
    <n v="3738381.05"/>
    <n v="7150543"/>
    <n v="7565776"/>
    <n v="163091276.08888999"/>
    <n v="6103"/>
    <n v="4960"/>
    <n v="4299"/>
    <n v="3553"/>
    <n v="2084"/>
  </r>
  <r>
    <x v="0"/>
    <n v="24998823"/>
    <n v="51995"/>
    <x v="3"/>
    <x v="5"/>
    <n v="12565444.1557987"/>
    <n v="12678634.553693701"/>
    <n v="12484060.2686981"/>
    <n v="12533637.6450042"/>
    <n v="243.84334173850701"/>
    <n v="240.10116874118901"/>
    <n v="241.054671506956"/>
    <n v="3792556.1699999799"/>
    <n v="4804938.72"/>
    <n v="8874160"/>
    <n v="8212304"/>
    <n v="193654108.428556"/>
    <n v="4144"/>
    <n v="3403"/>
    <n v="2950"/>
    <n v="2475"/>
    <n v="1495"/>
  </r>
  <r>
    <x v="0"/>
    <n v="24998823"/>
    <n v="347892"/>
    <x v="3"/>
    <x v="6"/>
    <n v="12572949.352528"/>
    <n v="11169623.8575445"/>
    <n v="11711333.883874301"/>
    <n v="14837890.316166"/>
    <n v="32.106584392698302"/>
    <n v="33.663705643919201"/>
    <n v="42.650852322462299"/>
    <n v="3986685.9799998002"/>
    <n v="3534262.3500000699"/>
    <n v="7903003"/>
    <n v="14973254"/>
    <n v="209875058.05218899"/>
    <n v="115172"/>
    <n v="92346"/>
    <n v="78898"/>
    <n v="58131"/>
    <n v="28987"/>
  </r>
  <r>
    <x v="0"/>
    <n v="24998823"/>
    <n v="32060"/>
    <x v="3"/>
    <x v="7"/>
    <n v="12095769.256600499"/>
    <n v="12302493.782208299"/>
    <n v="12035479.7117665"/>
    <n v="11949334.2758267"/>
    <n v="383.733430511802"/>
    <n v="375.40485688604298"/>
    <n v="372.71785015055298"/>
    <n v="3562089.8299999801"/>
    <n v="5024957.0999999996"/>
    <n v="7588177"/>
    <n v="6279373"/>
    <n v="170954288.205286"/>
    <n v="1908"/>
    <n v="1594"/>
    <n v="1389"/>
    <n v="1163"/>
    <n v="719"/>
  </r>
  <r>
    <x v="0"/>
    <n v="24998823"/>
    <n v="191649"/>
    <x v="3"/>
    <x v="8"/>
    <n v="11759224.4316718"/>
    <n v="11005604.024626199"/>
    <n v="11338023.369621299"/>
    <n v="12934045.900768001"/>
    <n v="57.425835901185401"/>
    <n v="59.1603575788101"/>
    <n v="67.488199264113405"/>
    <n v="3756752.35999991"/>
    <n v="3729112.66000003"/>
    <n v="7440769"/>
    <n v="12440023"/>
    <n v="193234497.79316601"/>
    <n v="42908"/>
    <n v="34187"/>
    <n v="29381"/>
    <n v="23052"/>
    <n v="12117"/>
  </r>
  <r>
    <x v="0"/>
    <n v="24998823"/>
    <n v="114292"/>
    <x v="3"/>
    <x v="9"/>
    <n v="9887857.7273408193"/>
    <n v="9488307.2372086495"/>
    <n v="9647973.9145264793"/>
    <n v="10527292.030287299"/>
    <n v="83.018122328847596"/>
    <n v="84.415128920016102"/>
    <n v="92.108739284353703"/>
    <n v="3128013.8699999601"/>
    <n v="3330227.3709000102"/>
    <n v="6539339"/>
    <n v="9474097"/>
    <n v="160850089.56837901"/>
    <n v="19651"/>
    <n v="15764"/>
    <n v="13535"/>
    <n v="10897"/>
    <n v="6008"/>
  </r>
  <r>
    <x v="0"/>
    <n v="24998823"/>
    <n v="17125"/>
    <x v="3"/>
    <x v="10"/>
    <n v="13471408.7638359"/>
    <n v="14009632.8476013"/>
    <n v="13231252.160805801"/>
    <n v="13173341.283100599"/>
    <n v="818.08075022489299"/>
    <n v="772.62786340472303"/>
    <n v="769.24620631244602"/>
    <n v="4079285.46999999"/>
    <n v="6985242.1699999999"/>
    <n v="6496902"/>
    <n v="4824117"/>
    <n v="183977478.10178599"/>
    <n v="668"/>
    <n v="544"/>
    <n v="453"/>
    <n v="391"/>
    <n v="267"/>
  </r>
  <r>
    <x v="0"/>
    <n v="24998823"/>
    <n v="21592"/>
    <x v="3"/>
    <x v="11"/>
    <n v="-197401.82548454899"/>
    <n v="-206517.95860099001"/>
    <n v="-167400.162678872"/>
    <n v="-218287.35517378699"/>
    <n v="-9.5645590311685194"/>
    <n v="-7.7528789680841097"/>
    <n v="-10.1096403841139"/>
    <n v="9555.23"/>
    <n v="6483.66"/>
    <n v="1111825"/>
    <n v="180195"/>
    <n v="414499402.66821498"/>
    <n v="7393"/>
    <n v="6484"/>
    <n v="5594"/>
    <n v="3626"/>
    <n v="2632"/>
  </r>
  <r>
    <x v="0"/>
    <n v="24998823"/>
    <n v="436474"/>
    <x v="4"/>
    <x v="0"/>
    <n v="1254378.5099794201"/>
    <n v="912634.63493804296"/>
    <n v="1016574.12866127"/>
    <n v="1833926.76633876"/>
    <n v="2.0909255418147299"/>
    <n v="2.32905998676042"/>
    <n v="4.2016861630675999"/>
    <n v="354245.66000000498"/>
    <n v="175811.83999999901"/>
    <n v="780266"/>
    <n v="4094980"/>
    <n v="507815509.60150898"/>
    <n v="317951"/>
    <n v="275450"/>
    <n v="234203"/>
    <n v="126763"/>
    <n v="65238"/>
  </r>
  <r>
    <x v="0"/>
    <n v="24998823"/>
    <n v="211440"/>
    <x v="4"/>
    <x v="1"/>
    <n v="3545335.3718831502"/>
    <n v="2933979.6944868499"/>
    <n v="3089828.3844179502"/>
    <n v="4612198.0367448898"/>
    <n v="13.8761809236041"/>
    <n v="14.613263263422001"/>
    <n v="21.813271078059401"/>
    <n v="1135427.3899999899"/>
    <n v="778900.76999999594"/>
    <n v="2422867"/>
    <n v="5768308"/>
    <n v="66216781.854934603"/>
    <n v="99263"/>
    <n v="80644"/>
    <n v="68496"/>
    <n v="44328"/>
    <n v="21114"/>
  </r>
  <r>
    <x v="0"/>
    <n v="24998823"/>
    <n v="48523"/>
    <x v="4"/>
    <x v="2"/>
    <n v="5415811.7469564397"/>
    <n v="5314739.5007995795"/>
    <n v="5326325.8293324504"/>
    <n v="5606369.9107372696"/>
    <n v="109.530315536953"/>
    <n v="109.76909567282399"/>
    <n v="115.540463506734"/>
    <n v="1748505.6499999899"/>
    <n v="1814913"/>
    <n v="3503831"/>
    <n v="5292035"/>
    <n v="88827822.261015803"/>
    <n v="5614"/>
    <n v="4497"/>
    <n v="3797"/>
    <n v="3052"/>
    <n v="1631"/>
  </r>
  <r>
    <x v="0"/>
    <n v="24998823"/>
    <n v="33061"/>
    <x v="4"/>
    <x v="3"/>
    <n v="4523436.2369905598"/>
    <n v="4502935.0494659897"/>
    <n v="4451707.0757641802"/>
    <n v="4615666.5857415302"/>
    <n v="136.200812118991"/>
    <n v="134.651313504255"/>
    <n v="139.61061630747801"/>
    <n v="1430331.5999999901"/>
    <n v="1580375.51"/>
    <n v="2937082"/>
    <n v="4042817"/>
    <n v="74554873.088305399"/>
    <n v="3297"/>
    <n v="2615"/>
    <n v="2250"/>
    <n v="1839"/>
    <n v="1042"/>
  </r>
  <r>
    <x v="0"/>
    <n v="24998823"/>
    <n v="40414"/>
    <x v="4"/>
    <x v="4"/>
    <n v="6968982.7234051097"/>
    <n v="6958984.76279015"/>
    <n v="6888652.56894767"/>
    <n v="7059310.8384775398"/>
    <n v="172.19242744568999"/>
    <n v="170.45213463026801"/>
    <n v="174.67488589294601"/>
    <n v="2161941.1299999901"/>
    <n v="2514203.6899999902"/>
    <n v="4618406"/>
    <n v="5619055"/>
    <n v="109509393.535965"/>
    <n v="3415"/>
    <n v="2756"/>
    <n v="2339"/>
    <n v="1893"/>
    <n v="1061"/>
  </r>
  <r>
    <x v="0"/>
    <n v="24998823"/>
    <n v="36788"/>
    <x v="4"/>
    <x v="5"/>
    <n v="8899903.6398864295"/>
    <n v="8991104.1385299005"/>
    <n v="8819763.0808237791"/>
    <n v="8888843.7003056109"/>
    <n v="244.40317871398"/>
    <n v="239.745652952695"/>
    <n v="241.62345602657399"/>
    <n v="2685123.8699999899"/>
    <n v="3376859.9909000001"/>
    <n v="5826121"/>
    <n v="6172184"/>
    <n v="133052293.759211"/>
    <n v="2481"/>
    <n v="2047"/>
    <n v="1757"/>
    <n v="1476"/>
    <n v="864"/>
  </r>
  <r>
    <x v="0"/>
    <n v="24998823"/>
    <n v="207440"/>
    <x v="4"/>
    <x v="6"/>
    <n v="7543066.2899494804"/>
    <n v="6796177.9422351997"/>
    <n v="7081678.1787632396"/>
    <n v="8751342.7488502692"/>
    <n v="32.762138171207098"/>
    <n v="34.138440892611101"/>
    <n v="42.187344527816599"/>
    <n v="2529597.9699999299"/>
    <n v="2068979.95000002"/>
    <n v="4809053"/>
    <n v="9948342"/>
    <n v="130572495.081402"/>
    <n v="61270"/>
    <n v="48405"/>
    <n v="41040"/>
    <n v="30065"/>
    <n v="14377"/>
  </r>
  <r>
    <x v="0"/>
    <n v="24998823"/>
    <n v="23808"/>
    <x v="4"/>
    <x v="7"/>
    <n v="8999644.5899559092"/>
    <n v="9168856.0084229298"/>
    <n v="8891752.9675399903"/>
    <n v="8938324.7939048205"/>
    <n v="385.11659981615099"/>
    <n v="373.47752719841998"/>
    <n v="375.433669098824"/>
    <n v="2625196.6599999899"/>
    <n v="3767850.09"/>
    <n v="5459045"/>
    <n v="4919551"/>
    <n v="122959128.748417"/>
    <n v="1178"/>
    <n v="990"/>
    <n v="835"/>
    <n v="703"/>
    <n v="436"/>
  </r>
  <r>
    <x v="0"/>
    <n v="24998823"/>
    <n v="122561"/>
    <x v="4"/>
    <x v="8"/>
    <n v="7528169.5921541397"/>
    <n v="7095625.1930673998"/>
    <n v="7283117.5624236101"/>
    <n v="8205766.0209715702"/>
    <n v="57.894641795247999"/>
    <n v="59.424429977102101"/>
    <n v="66.952505454194807"/>
    <n v="2491169.3599999598"/>
    <n v="2322960.17090001"/>
    <n v="4611607"/>
    <n v="8637487"/>
    <n v="129888303.433788"/>
    <n v="23665"/>
    <n v="18633"/>
    <n v="15827"/>
    <n v="12382"/>
    <n v="6267"/>
  </r>
  <r>
    <x v="0"/>
    <n v="24998823"/>
    <n v="74552"/>
    <x v="4"/>
    <x v="9"/>
    <n v="6453314.7149642399"/>
    <n v="6219382.7710168799"/>
    <n v="6307819.0061852001"/>
    <n v="6832742.3676905902"/>
    <n v="83.423419506074694"/>
    <n v="84.609655088866802"/>
    <n v="91.650691700968295"/>
    <n v="2112382.8799999799"/>
    <n v="2100603.34"/>
    <n v="4021884"/>
    <n v="6701696"/>
    <n v="107245542.482677"/>
    <n v="10901"/>
    <n v="8604"/>
    <n v="7315"/>
    <n v="5850"/>
    <n v="3078"/>
  </r>
  <r>
    <x v="0"/>
    <n v="24998823"/>
    <n v="13774"/>
    <x v="4"/>
    <x v="10"/>
    <n v="10850849.344937"/>
    <n v="11245401.5824589"/>
    <n v="10551340.294952299"/>
    <n v="10755806.1573999"/>
    <n v="816.42235969645606"/>
    <n v="766.03312726530498"/>
    <n v="780.87746169594504"/>
    <n v="3179749.6299999901"/>
    <n v="5553752.1100000003"/>
    <n v="5069324"/>
    <n v="3953184"/>
    <n v="142353689.16563499"/>
    <n v="437"/>
    <n v="360"/>
    <n v="303"/>
    <n v="255"/>
    <n v="173"/>
  </r>
  <r>
    <x v="0"/>
    <n v="24998823"/>
    <n v="13757"/>
    <x v="4"/>
    <x v="11"/>
    <n v="-41696.416001071797"/>
    <n v="-44883.644370714901"/>
    <n v="-38850.957283213502"/>
    <n v="-41354.646349286901"/>
    <n v="-3.2626040830642502"/>
    <n v="-2.8240864493140601"/>
    <n v="-3.0060802754442699"/>
    <n v="6133.98"/>
    <n v="3290.34"/>
    <n v="31812"/>
    <n v="35341"/>
    <n v="734239075.35833502"/>
    <n v="4302"/>
    <n v="3889"/>
    <n v="3367"/>
    <n v="2389"/>
    <n v="1870"/>
  </r>
  <r>
    <x v="0"/>
    <n v="24998823"/>
    <n v="1530784"/>
    <x v="5"/>
    <x v="0"/>
    <n v="5154272.7650727304"/>
    <n v="4716806.8565625502"/>
    <n v="4671250.2620720901"/>
    <n v="6074761.1765863895"/>
    <n v="3.08130138318832"/>
    <n v="3.0515410809572701"/>
    <n v="3.9683986614613098"/>
    <n v="1964087.1759999499"/>
    <n v="456578.18099999201"/>
    <n v="3107215"/>
    <n v="40093700"/>
    <n v="147841950.97424001"/>
    <n v="739565"/>
    <n v="559890"/>
    <n v="427409"/>
    <n v="236505"/>
    <n v="126139"/>
  </r>
  <r>
    <x v="0"/>
    <n v="24998823"/>
    <n v="1049441"/>
    <x v="5"/>
    <x v="1"/>
    <n v="17959240.5955818"/>
    <n v="17349412.5154735"/>
    <n v="17186999.3208686"/>
    <n v="19341309.9504048"/>
    <n v="16.5320513639866"/>
    <n v="16.377289738888201"/>
    <n v="18.4301070287942"/>
    <n v="8963199.5729995202"/>
    <n v="2569155.3044000999"/>
    <n v="14677396"/>
    <n v="62099861"/>
    <n v="213206125.01315901"/>
    <n v="216820"/>
    <n v="142887"/>
    <n v="104444"/>
    <n v="62575"/>
    <n v="30502"/>
  </r>
  <r>
    <x v="0"/>
    <n v="24998823"/>
    <n v="563896"/>
    <x v="5"/>
    <x v="2"/>
    <n v="63139516.802517101"/>
    <n v="63396755.179092802"/>
    <n v="63979277.101551101"/>
    <n v="62042518.126907103"/>
    <n v="112.42632538463199"/>
    <n v="113.459356160623"/>
    <n v="110.024753016349"/>
    <n v="28202126.462300099"/>
    <n v="17270168.576899499"/>
    <n v="47837832"/>
    <n v="92076373"/>
    <n v="536802556.33929002"/>
    <n v="18729"/>
    <n v="12967"/>
    <n v="9752"/>
    <n v="6845"/>
    <n v="3703"/>
  </r>
  <r>
    <x v="0"/>
    <n v="24998823"/>
    <n v="444096"/>
    <x v="5"/>
    <x v="3"/>
    <n v="60838820.019113198"/>
    <n v="61226696.462684304"/>
    <n v="61611748.612681597"/>
    <n v="59678014.9819737"/>
    <n v="137.86815567508901"/>
    <n v="138.73520277751101"/>
    <n v="134.38088832588801"/>
    <n v="26257189.519499999"/>
    <n v="17616555.875199702"/>
    <n v="46674469"/>
    <n v="80676905"/>
    <n v="523712450.748209"/>
    <n v="11857"/>
    <n v="8257"/>
    <n v="6225"/>
    <n v="4449"/>
    <n v="2427"/>
  </r>
  <r>
    <x v="0"/>
    <n v="24998823"/>
    <n v="641943"/>
    <x v="5"/>
    <x v="4"/>
    <n v="111226500.035962"/>
    <n v="112280604.783749"/>
    <n v="112507521.803554"/>
    <n v="108891373.52058201"/>
    <n v="174.90743692781101"/>
    <n v="175.26092161384099"/>
    <n v="169.627791751888"/>
    <n v="46348334.923000596"/>
    <n v="34321582.951299302"/>
    <n v="85508819"/>
    <n v="130778457"/>
    <n v="960189351.92221606"/>
    <n v="13429"/>
    <n v="9518"/>
    <n v="7227"/>
    <n v="5252"/>
    <n v="2906"/>
  </r>
  <r>
    <x v="0"/>
    <n v="24998823"/>
    <n v="741027"/>
    <x v="5"/>
    <x v="5"/>
    <n v="180929499.66648301"/>
    <n v="184075370.458011"/>
    <n v="181750208.24941701"/>
    <n v="176962920.29202101"/>
    <n v="248.40575371479201"/>
    <n v="245.267997319149"/>
    <n v="238.807655175886"/>
    <n v="71180632.374399498"/>
    <n v="61565530.007099099"/>
    <n v="138719524"/>
    <n v="179772306"/>
    <n v="1583235279.4636099"/>
    <n v="10773"/>
    <n v="7894"/>
    <n v="6018"/>
    <n v="4417"/>
    <n v="2519"/>
  </r>
  <r>
    <x v="0"/>
    <n v="24998823"/>
    <n v="1305214"/>
    <x v="5"/>
    <x v="6"/>
    <n v="48081046.363827899"/>
    <n v="47280557.413636699"/>
    <n v="47791751.014564"/>
    <n v="49170830.663284197"/>
    <n v="36.224371952520201"/>
    <n v="36.6160269615281"/>
    <n v="37.672619710855201"/>
    <n v="24421934.682401098"/>
    <n v="8846844.8201999497"/>
    <n v="38703141"/>
    <n v="116495738"/>
    <n v="451190631.17880702"/>
    <n v="139760"/>
    <n v="91691"/>
    <n v="67723"/>
    <n v="44007"/>
    <n v="21744"/>
  </r>
  <r>
    <x v="0"/>
    <n v="24998823"/>
    <n v="608938"/>
    <x v="5"/>
    <x v="7"/>
    <n v="232468674.702647"/>
    <n v="238516704.92333299"/>
    <n v="231587517.47151399"/>
    <n v="227301801.71309099"/>
    <n v="391.692922634708"/>
    <n v="380.313788056443"/>
    <n v="373.275771446504"/>
    <n v="83798486.808799401"/>
    <n v="90547917.997599497"/>
    <n v="166856610"/>
    <n v="184041750"/>
    <n v="2059064266.1254399"/>
    <n v="5632"/>
    <n v="4157"/>
    <n v="3176"/>
    <n v="2348"/>
    <n v="1399"/>
  </r>
  <r>
    <x v="0"/>
    <n v="24998823"/>
    <n v="967370"/>
    <x v="5"/>
    <x v="8"/>
    <n v="59877443.5405588"/>
    <n v="59488148.443251699"/>
    <n v="60361612.431171499"/>
    <n v="59782569.747253902"/>
    <n v="61.494721195873097"/>
    <n v="62.397647674800197"/>
    <n v="61.799073516083702"/>
    <n v="29051886.512000099"/>
    <n v="13586171.8147994"/>
    <n v="46024514"/>
    <n v="114691460"/>
    <n v="523377414.72842598"/>
    <n v="60790"/>
    <n v="40386"/>
    <n v="30264"/>
    <n v="20833"/>
    <n v="10544"/>
  </r>
  <r>
    <x v="0"/>
    <n v="24998823"/>
    <n v="730990"/>
    <x v="5"/>
    <x v="9"/>
    <n v="63570616.760746203"/>
    <n v="63553944.002781197"/>
    <n v="64357391.939903803"/>
    <n v="62800514.339551099"/>
    <n v="86.942289228007496"/>
    <n v="88.041412249009994"/>
    <n v="85.911591594346206"/>
    <n v="29548016.873100299"/>
    <n v="16118405.268299401"/>
    <n v="47945771"/>
    <n v="104153657"/>
    <n v="543141719.89696598"/>
    <n v="31848"/>
    <n v="21647"/>
    <n v="16246"/>
    <n v="11339"/>
    <n v="5961"/>
  </r>
  <r>
    <x v="0"/>
    <n v="24998823"/>
    <n v="423465"/>
    <x v="5"/>
    <x v="10"/>
    <n v="338569519.060471"/>
    <n v="352413947.15632403"/>
    <n v="331632459.31059003"/>
    <n v="331662150.71448898"/>
    <n v="832.21505238053703"/>
    <n v="783.14018705345302"/>
    <n v="783.21030242048198"/>
    <n v="118567597.26989999"/>
    <n v="164747681.48809901"/>
    <n v="193562186"/>
    <n v="179211713"/>
    <n v="3159220045.8450899"/>
    <n v="2114"/>
    <n v="1570"/>
    <n v="1167"/>
    <n v="871"/>
    <n v="532"/>
  </r>
  <r>
    <x v="0"/>
    <n v="24998823"/>
    <n v="16750"/>
    <x v="5"/>
    <x v="11"/>
    <n v="-221153.448257257"/>
    <n v="-230858.93091027401"/>
    <n v="-205477.631956714"/>
    <n v="-227123.78190478499"/>
    <n v="-13.782622740911799"/>
    <n v="-12.267321310848599"/>
    <n v="-13.5596287704349"/>
    <n v="75682.130499999999"/>
    <n v="17697.3505"/>
    <n v="132034"/>
    <n v="355522"/>
    <n v="3258717.4370031301"/>
    <n v="7480"/>
    <n v="6256"/>
    <n v="4837"/>
    <n v="2812"/>
    <n v="1781"/>
  </r>
  <r>
    <x v="1"/>
    <n v="25101804"/>
    <n v="3250209"/>
    <x v="0"/>
    <x v="0"/>
    <n v="7528800.2464997899"/>
    <n v="13314418.678070899"/>
    <n v="5974911.2572705401"/>
    <n v="3297070.8041851199"/>
    <n v="4.0964807734121003"/>
    <n v="1.8383160151456499"/>
    <n v="1.0144180894782799"/>
    <n v="7127026.5899937199"/>
    <n v="3401556.9100009701"/>
    <n v="8368579"/>
    <n v="16829965"/>
    <n v="835653942.04734004"/>
    <n v="2445490"/>
    <n v="2263728"/>
    <n v="2099572"/>
    <n v="1527653"/>
    <n v="839303"/>
  </r>
  <r>
    <x v="1"/>
    <n v="25101804"/>
    <n v="1194287"/>
    <x v="0"/>
    <x v="1"/>
    <n v="17513450.499558199"/>
    <n v="29295873.611589201"/>
    <n v="15573124.394848401"/>
    <n v="7671353.4922529804"/>
    <n v="24.5300113051462"/>
    <n v="13.0396834218646"/>
    <n v="6.4233751956212997"/>
    <n v="12381499.520003499"/>
    <n v="8514924.2800003998"/>
    <n v="16647202"/>
    <n v="21321985"/>
    <n v="705612926.92254901"/>
    <n v="680014"/>
    <n v="624105"/>
    <n v="580778"/>
    <n v="444583"/>
    <n v="239718"/>
  </r>
  <r>
    <x v="1"/>
    <n v="25101804"/>
    <n v="71296"/>
    <x v="0"/>
    <x v="2"/>
    <n v="7948333.2794831404"/>
    <n v="12959038.417453"/>
    <n v="8324889.8836164698"/>
    <n v="2561071.5373800602"/>
    <n v="181.76389162720201"/>
    <n v="116.765174534566"/>
    <n v="35.921672146825401"/>
    <n v="5218064.6199999396"/>
    <n v="4266597.6709000198"/>
    <n v="7884788"/>
    <n v="7129665"/>
    <n v="236342359.33057699"/>
    <n v="12393"/>
    <n v="10731"/>
    <n v="9566"/>
    <n v="8254"/>
    <n v="5534"/>
  </r>
  <r>
    <x v="1"/>
    <n v="25101804"/>
    <n v="44478"/>
    <x v="0"/>
    <x v="3"/>
    <n v="6071299.2805713797"/>
    <n v="9787056.0504244994"/>
    <n v="6470298.0160774998"/>
    <n v="1956543.7752121501"/>
    <n v="220.04262894969401"/>
    <n v="145.47187409680001"/>
    <n v="43.989023229735103"/>
    <n v="3892846.2399999802"/>
    <n v="3303574.8"/>
    <n v="5918630"/>
    <n v="5066168"/>
    <n v="173687133.10041201"/>
    <n v="7228"/>
    <n v="6332"/>
    <n v="5723"/>
    <n v="5023"/>
    <n v="3371"/>
  </r>
  <r>
    <x v="1"/>
    <n v="25101804"/>
    <n v="49365"/>
    <x v="0"/>
    <x v="4"/>
    <n v="8474688.4306119606"/>
    <n v="13445830.519670701"/>
    <n v="9121219.7509085909"/>
    <n v="2857015.0212566"/>
    <n v="272.37578283542501"/>
    <n v="184.770986547322"/>
    <n v="57.875316950402201"/>
    <n v="5161457.3799999701"/>
    <n v="4812024.5109000104"/>
    <n v="7843088"/>
    <n v="6382376"/>
    <n v="235514156.260153"/>
    <n v="7436"/>
    <n v="6591"/>
    <n v="5931"/>
    <n v="5169"/>
    <n v="3479"/>
  </r>
  <r>
    <x v="1"/>
    <n v="25101804"/>
    <n v="38755"/>
    <x v="0"/>
    <x v="5"/>
    <n v="9326633.8183075208"/>
    <n v="14646311.4544171"/>
    <n v="10153468.6169292"/>
    <n v="3180121.3835762502"/>
    <n v="377.92056391219398"/>
    <n v="261.99119125091602"/>
    <n v="82.057060600599897"/>
    <n v="5465281.04999997"/>
    <n v="5619348.3499999996"/>
    <n v="8071245"/>
    <n v="6126044"/>
    <n v="242028376.80680099"/>
    <n v="4954"/>
    <n v="4428"/>
    <n v="4010"/>
    <n v="3545"/>
    <n v="2411"/>
  </r>
  <r>
    <x v="1"/>
    <n v="25101804"/>
    <n v="558826"/>
    <x v="0"/>
    <x v="6"/>
    <n v="19834139.622404002"/>
    <n v="35034871.216510303"/>
    <n v="18236028.067272399"/>
    <n v="6231519.5834322302"/>
    <n v="62.6937028994898"/>
    <n v="32.632748059811902"/>
    <n v="11.1510910076342"/>
    <n v="15786280.120002899"/>
    <n v="10640750.8408996"/>
    <n v="21004127"/>
    <n v="25576958"/>
    <n v="672030591.87739599"/>
    <n v="173546"/>
    <n v="147546"/>
    <n v="129419"/>
    <n v="105922"/>
    <n v="66532"/>
  </r>
  <r>
    <x v="1"/>
    <n v="25101804"/>
    <n v="20581"/>
    <x v="0"/>
    <x v="7"/>
    <n v="7701114.2775861304"/>
    <n v="11753329.2271684"/>
    <n v="8539551.9559757393"/>
    <n v="2810461.6496142801"/>
    <n v="571.07668369702105"/>
    <n v="414.92405402923703"/>
    <n v="136.55612699160699"/>
    <n v="4225998.28"/>
    <n v="4974952.6617999999"/>
    <n v="5893412"/>
    <n v="4235596"/>
    <n v="180811000.85152301"/>
    <n v="2186"/>
    <n v="1952"/>
    <n v="1793"/>
    <n v="1586"/>
    <n v="1052"/>
  </r>
  <r>
    <x v="1"/>
    <n v="25101804"/>
    <n v="241880"/>
    <x v="0"/>
    <x v="8"/>
    <n v="14760491.608335"/>
    <n v="25112184.5710821"/>
    <n v="14559330.866660601"/>
    <n v="4609959.3872629702"/>
    <n v="103.82083913958201"/>
    <n v="60.1923716994404"/>
    <n v="19.058869634789801"/>
    <n v="10702352.2600001"/>
    <n v="7842755.3700000998"/>
    <n v="15144462"/>
    <n v="16566669"/>
    <n v="476338867.13049197"/>
    <n v="57124"/>
    <n v="48777"/>
    <n v="43123"/>
    <n v="36311"/>
    <n v="23619"/>
  </r>
  <r>
    <x v="1"/>
    <n v="25101804"/>
    <n v="124853"/>
    <x v="0"/>
    <x v="9"/>
    <n v="10766871.5812866"/>
    <n v="17889730.111641899"/>
    <n v="11002052.9516176"/>
    <n v="3408831.6806005598"/>
    <n v="143.286345635603"/>
    <n v="88.1200527950283"/>
    <n v="27.302761492319402"/>
    <n v="7368089.03999981"/>
    <n v="5757466.2509000404"/>
    <n v="10982853"/>
    <n v="10764493"/>
    <n v="330979818.84142399"/>
    <n v="24586"/>
    <n v="21255"/>
    <n v="18900"/>
    <n v="16166"/>
    <n v="10790"/>
  </r>
  <r>
    <x v="1"/>
    <n v="25101804"/>
    <n v="8757"/>
    <x v="0"/>
    <x v="10"/>
    <n v="7016023.9485567799"/>
    <n v="10208413.8757807"/>
    <n v="7952407.7668776"/>
    <n v="2887250.20301197"/>
    <n v="1165.7432768962799"/>
    <n v="908.12010584419295"/>
    <n v="329.70768562429703"/>
    <n v="3203709.71"/>
    <n v="4886346.5199999996"/>
    <n v="3576058"/>
    <n v="2623504"/>
    <n v="140684636.832715"/>
    <n v="773"/>
    <n v="701"/>
    <n v="652"/>
    <n v="555"/>
    <n v="347"/>
  </r>
  <r>
    <x v="1"/>
    <n v="25101804"/>
    <n v="84902"/>
    <x v="0"/>
    <x v="11"/>
    <n v="-154338.883966116"/>
    <n v="-259254.537899638"/>
    <n v="-125879.139280655"/>
    <n v="-77882.974718058802"/>
    <n v="-3.0535739782294602"/>
    <n v="-1.4826404475825601"/>
    <n v="-0.91732791592729002"/>
    <n v="63552.239999999903"/>
    <n v="12176.73"/>
    <n v="256826"/>
    <n v="151213"/>
    <n v="238384094.528862"/>
    <n v="34632"/>
    <n v="32379"/>
    <n v="30169"/>
    <n v="24513"/>
    <n v="16435"/>
  </r>
  <r>
    <x v="1"/>
    <n v="25101804"/>
    <n v="1029655"/>
    <x v="1"/>
    <x v="0"/>
    <n v="3044254.6567248702"/>
    <n v="2426215.7871387"/>
    <n v="2354126.0199326202"/>
    <n v="4352422.1631046599"/>
    <n v="2.3563385669361998"/>
    <n v="2.2863250505583101"/>
    <n v="4.2270684482711802"/>
    <n v="926207.99000000698"/>
    <n v="421732.11999998998"/>
    <n v="1506518"/>
    <n v="15112773"/>
    <n v="627149815.31882298"/>
    <n v="709729"/>
    <n v="611878"/>
    <n v="510611"/>
    <n v="282070"/>
    <n v="149944"/>
  </r>
  <r>
    <x v="1"/>
    <n v="25101804"/>
    <n v="525029"/>
    <x v="1"/>
    <x v="1"/>
    <n v="8810892.5045984406"/>
    <n v="7920195.7963337004"/>
    <n v="7223320.3911520001"/>
    <n v="11289161.326310899"/>
    <n v="15.0852539504174"/>
    <n v="13.7579455442499"/>
    <n v="21.501976702831499"/>
    <n v="3199127.26999981"/>
    <n v="1997528.17000006"/>
    <n v="5891377"/>
    <n v="19794723"/>
    <n v="149642078.01192701"/>
    <n v="215502"/>
    <n v="170137"/>
    <n v="138130"/>
    <n v="82208"/>
    <n v="44006"/>
  </r>
  <r>
    <x v="1"/>
    <n v="25101804"/>
    <n v="156016"/>
    <x v="1"/>
    <x v="2"/>
    <n v="17438220.792760599"/>
    <n v="18180617.2662859"/>
    <n v="16440380.2596904"/>
    <n v="17693664.852305401"/>
    <n v="116.530466530906"/>
    <n v="105.37624512671999"/>
    <n v="113.409296817669"/>
    <n v="5999181.6999998903"/>
    <n v="6452070.1527000396"/>
    <n v="9836187"/>
    <n v="20155744"/>
    <n v="251696073.395991"/>
    <n v="13706"/>
    <n v="10226"/>
    <n v="8280"/>
    <n v="6291"/>
    <n v="4146"/>
  </r>
  <r>
    <x v="1"/>
    <n v="25101804"/>
    <n v="112646"/>
    <x v="1"/>
    <x v="3"/>
    <n v="15418719.9762333"/>
    <n v="16158556.191597899"/>
    <n v="14587994.6342158"/>
    <n v="15509609.102886099"/>
    <n v="143.445450274292"/>
    <n v="129.502997303196"/>
    <n v="137.684508130658"/>
    <n v="5137024.8599999296"/>
    <n v="5909784.37090002"/>
    <n v="8732138"/>
    <n v="16392054"/>
    <n v="219974483.88572401"/>
    <n v="8232"/>
    <n v="6307"/>
    <n v="5171"/>
    <n v="3955"/>
    <n v="2641"/>
  </r>
  <r>
    <x v="1"/>
    <n v="25101804"/>
    <n v="146279"/>
    <x v="1"/>
    <x v="4"/>
    <n v="25274790.040201299"/>
    <n v="26526512.790506899"/>
    <n v="24101781.795765702"/>
    <n v="25196075.534331299"/>
    <n v="181.34190683903299"/>
    <n v="164.76583648894001"/>
    <n v="172.24670345252099"/>
    <n v="8205782.04999993"/>
    <n v="9849907.6326999702"/>
    <n v="14551967"/>
    <n v="24148350"/>
    <n v="350775285.21985698"/>
    <n v="9069"/>
    <n v="6934"/>
    <n v="5661"/>
    <n v="4403"/>
    <n v="2997"/>
  </r>
  <r>
    <x v="1"/>
    <n v="25101804"/>
    <n v="145187"/>
    <x v="1"/>
    <x v="5"/>
    <n v="35249113.9040334"/>
    <n v="37215569.3059135"/>
    <n v="33762814.925894402"/>
    <n v="34768957.480292"/>
    <n v="256.32852325561799"/>
    <n v="232.54709392641499"/>
    <n v="239.477070814136"/>
    <n v="11096396.210000001"/>
    <n v="14245397.392699899"/>
    <n v="20387102"/>
    <n v="28400180"/>
    <n v="471037900.50402403"/>
    <n v="6677"/>
    <n v="5175"/>
    <n v="4232"/>
    <n v="3348"/>
    <n v="2285"/>
  </r>
  <r>
    <x v="1"/>
    <n v="25101804"/>
    <n v="529896"/>
    <x v="1"/>
    <x v="6"/>
    <n v="19317514.189553101"/>
    <n v="18937716.401692301"/>
    <n v="17048799.002017401"/>
    <n v="21966027.164950602"/>
    <n v="35.738553228732201"/>
    <n v="32.173858647767503"/>
    <n v="41.453468539016399"/>
    <n v="7305738.3599990699"/>
    <n v="5650721.5209001396"/>
    <n v="12004290"/>
    <n v="33049432"/>
    <n v="294577107.76830697"/>
    <n v="129956"/>
    <n v="98558"/>
    <n v="79332"/>
    <n v="52565"/>
    <n v="30129"/>
  </r>
  <r>
    <x v="1"/>
    <n v="25101804"/>
    <n v="102732"/>
    <x v="1"/>
    <x v="7"/>
    <n v="39017864.390001602"/>
    <n v="41469085.307389498"/>
    <n v="37591798.517113902"/>
    <n v="37992709.345501304"/>
    <n v="403.66278576674699"/>
    <n v="365.92102282749198"/>
    <n v="369.82351502454202"/>
    <n v="11800309.5499999"/>
    <n v="16720353.2735999"/>
    <n v="22444292"/>
    <n v="24984229"/>
    <n v="470026470.28268301"/>
    <n v="3293"/>
    <n v="2602"/>
    <n v="2198"/>
    <n v="1805"/>
    <n v="1238"/>
  </r>
  <r>
    <x v="1"/>
    <n v="25101804"/>
    <n v="336615"/>
    <x v="1"/>
    <x v="8"/>
    <n v="20743554.083507501"/>
    <n v="21135892.692973301"/>
    <n v="19010516.108410899"/>
    <n v="22084253.4491391"/>
    <n v="62.789515300783698"/>
    <n v="56.475546569258597"/>
    <n v="65.606860802813799"/>
    <n v="7589123.9999996601"/>
    <n v="7032451.8709000796"/>
    <n v="11908838"/>
    <n v="29686515"/>
    <n v="310305164.04812598"/>
    <n v="51369"/>
    <n v="38296"/>
    <n v="30985"/>
    <n v="22219"/>
    <n v="13616"/>
  </r>
  <r>
    <x v="1"/>
    <n v="25101804"/>
    <n v="226003"/>
    <x v="1"/>
    <x v="9"/>
    <n v="19603184.2942864"/>
    <n v="20307922.948079299"/>
    <n v="18287840.6213479"/>
    <n v="20213789.313432399"/>
    <n v="89.856873351589897"/>
    <n v="80.9185746266552"/>
    <n v="89.440358373262498"/>
    <n v="6947857.6699997904"/>
    <n v="7068234.1309000598"/>
    <n v="11037522"/>
    <n v="24812984"/>
    <n v="288639482.30984598"/>
    <n v="25069"/>
    <n v="18682"/>
    <n v="15139"/>
    <n v="11287"/>
    <n v="7184"/>
  </r>
  <r>
    <x v="1"/>
    <n v="25101804"/>
    <n v="65366"/>
    <x v="1"/>
    <x v="10"/>
    <n v="52843113.612083502"/>
    <n v="57004053.8908609"/>
    <n v="51333272.970946804"/>
    <n v="50192013.9744431"/>
    <n v="872.07499144602502"/>
    <n v="785.32070144948204"/>
    <n v="767.86118126308895"/>
    <n v="16912323.329999998"/>
    <n v="26298487.7517999"/>
    <n v="25641629"/>
    <n v="22321201"/>
    <n v="589925238.70904398"/>
    <n v="1261"/>
    <n v="1013"/>
    <n v="860"/>
    <n v="735"/>
    <n v="515"/>
  </r>
  <r>
    <x v="1"/>
    <n v="25101804"/>
    <n v="17352"/>
    <x v="1"/>
    <x v="11"/>
    <n v="-75676.638418554794"/>
    <n v="-90736.106242038906"/>
    <n v="-74660.418943318393"/>
    <n v="-61633.390070306799"/>
    <n v="-5.2291439742991503"/>
    <n v="-4.3026981871437497"/>
    <n v="-3.5519473300084599"/>
    <n v="16116.9199999999"/>
    <n v="6550.2599999999902"/>
    <n v="25230"/>
    <n v="87075"/>
    <n v="980457653.00969195"/>
    <n v="6871"/>
    <n v="6133"/>
    <n v="5161"/>
    <n v="3640"/>
    <n v="2731"/>
  </r>
  <r>
    <x v="1"/>
    <n v="25101804"/>
    <n v="1507548"/>
    <x v="2"/>
    <x v="0"/>
    <n v="4121382.7797126002"/>
    <n v="2616302.45345846"/>
    <n v="2844511.0906713801"/>
    <n v="6903334.7950129705"/>
    <n v="1.73546875685448"/>
    <n v="1.8868461174512301"/>
    <n v="4.5791807590955402"/>
    <n v="1098105.6399999801"/>
    <n v="583920.69999999099"/>
    <n v="1838029"/>
    <n v="10739840"/>
    <n v="875101652.24914598"/>
    <n v="1243758"/>
    <n v="1142595"/>
    <n v="958021"/>
    <n v="467994"/>
    <n v="225223"/>
  </r>
  <r>
    <x v="1"/>
    <n v="25101804"/>
    <n v="614621"/>
    <x v="2"/>
    <x v="1"/>
    <n v="9977747.5749510191"/>
    <n v="7530256.3866906902"/>
    <n v="7663233.5101099703"/>
    <n v="14739752.828056"/>
    <n v="12.251869667145501"/>
    <n v="12.468225963821499"/>
    <n v="23.981856832187599"/>
    <n v="3166993.8599997298"/>
    <n v="1996566.5400000501"/>
    <n v="5586779"/>
    <n v="11067928"/>
    <n v="165169691.74239299"/>
    <n v="378802"/>
    <n v="333195"/>
    <n v="293995"/>
    <n v="163592"/>
    <n v="82147"/>
  </r>
  <r>
    <x v="1"/>
    <n v="25101804"/>
    <n v="105059"/>
    <x v="2"/>
    <x v="2"/>
    <n v="11732114.7221989"/>
    <n v="11674179.720223401"/>
    <n v="11463716.007262699"/>
    <n v="12058448.439110899"/>
    <n v="111.12022501854599"/>
    <n v="109.116934363193"/>
    <n v="114.777871854015"/>
    <n v="4538023.2199999504"/>
    <n v="3835915.53180002"/>
    <n v="7748954"/>
    <n v="10169240"/>
    <n v="196704567.588294"/>
    <n v="20728"/>
    <n v="17313"/>
    <n v="15280"/>
    <n v="11974"/>
    <n v="7689"/>
  </r>
  <r>
    <x v="1"/>
    <n v="25101804"/>
    <n v="71831"/>
    <x v="2"/>
    <x v="3"/>
    <n v="9819551.4983255696"/>
    <n v="9874549.3905121796"/>
    <n v="9644909.0641689505"/>
    <n v="9939196.0402956791"/>
    <n v="137.46919005042599"/>
    <n v="134.272237114462"/>
    <n v="138.369172645455"/>
    <n v="3758860.4899999802"/>
    <n v="3324744.9208999998"/>
    <n v="6546095"/>
    <n v="7942157"/>
    <n v="163943943.69787699"/>
    <n v="12516"/>
    <n v="10535"/>
    <n v="9316"/>
    <n v="7426"/>
    <n v="4805"/>
  </r>
  <r>
    <x v="1"/>
    <n v="25101804"/>
    <n v="86460"/>
    <x v="2"/>
    <x v="4"/>
    <n v="14899293.001501599"/>
    <n v="15154812.385050301"/>
    <n v="14727250.2125891"/>
    <n v="14815816.406865399"/>
    <n v="175.28119806905201"/>
    <n v="170.33599598183099"/>
    <n v="171.360356313502"/>
    <n v="5685558.30999994"/>
    <n v="5222686.6718000202"/>
    <n v="9998789"/>
    <n v="11261422"/>
    <n v="244238167.55989701"/>
    <n v="13131"/>
    <n v="11128"/>
    <n v="9858"/>
    <n v="7981"/>
    <n v="5176"/>
  </r>
  <r>
    <x v="1"/>
    <n v="25101804"/>
    <n v="77229"/>
    <x v="2"/>
    <x v="5"/>
    <n v="18679960.556717198"/>
    <n v="19269848.913803399"/>
    <n v="18582135.130031899"/>
    <n v="18187897.626316499"/>
    <n v="249.515711893245"/>
    <n v="240.61084735050099"/>
    <n v="235.50606153538899"/>
    <n v="7025088.4399999399"/>
    <n v="6799969.6009000205"/>
    <n v="12460812"/>
    <n v="12339268"/>
    <n v="305263839.43024403"/>
    <n v="9658"/>
    <n v="8255"/>
    <n v="7322"/>
    <n v="6063"/>
    <n v="4043"/>
  </r>
  <r>
    <x v="1"/>
    <n v="25101804"/>
    <n v="488593"/>
    <x v="2"/>
    <x v="6"/>
    <n v="17634630.519515298"/>
    <n v="15527588.532620501"/>
    <n v="15543680.8185341"/>
    <n v="21832622.2073934"/>
    <n v="31.780210794302199"/>
    <n v="31.8131467674202"/>
    <n v="44.684680720750102"/>
    <n v="6439769.6599992001"/>
    <n v="4581435.4200001303"/>
    <n v="10512131"/>
    <n v="18743322"/>
    <n v="295512278.18505001"/>
    <n v="204076"/>
    <n v="172594"/>
    <n v="151069"/>
    <n v="101091"/>
    <n v="55337"/>
  </r>
  <r>
    <x v="1"/>
    <n v="25101804"/>
    <n v="47741"/>
    <x v="2"/>
    <x v="7"/>
    <n v="18015741.003067501"/>
    <n v="18963725.999946501"/>
    <n v="17974143.1487986"/>
    <n v="17109353.860457301"/>
    <n v="397.22096311234702"/>
    <n v="376.49280804337201"/>
    <n v="358.37862341503899"/>
    <n v="6773846.25999997"/>
    <n v="7213027.0226999996"/>
    <n v="11388073"/>
    <n v="10093420"/>
    <n v="275609650.32801503"/>
    <n v="4608"/>
    <n v="3960"/>
    <n v="3560"/>
    <n v="3019"/>
    <n v="2014"/>
  </r>
  <r>
    <x v="1"/>
    <n v="25101804"/>
    <n v="267233"/>
    <x v="2"/>
    <x v="8"/>
    <n v="16416833.051118299"/>
    <n v="15472272.5863834"/>
    <n v="15314282.792427801"/>
    <n v="18463943.774544299"/>
    <n v="57.898061191482498"/>
    <n v="57.306855038217002"/>
    <n v="69.093052783691903"/>
    <n v="6231939.8799996497"/>
    <n v="4869915.5900000604"/>
    <n v="10102278"/>
    <n v="16063757"/>
    <n v="276550241.12220502"/>
    <n v="78917"/>
    <n v="66087"/>
    <n v="58017"/>
    <n v="42354"/>
    <n v="25052"/>
  </r>
  <r>
    <x v="1"/>
    <n v="25101804"/>
    <n v="162831"/>
    <x v="2"/>
    <x v="9"/>
    <n v="14089218.5855806"/>
    <n v="13716899.853912899"/>
    <n v="13577944.7565448"/>
    <n v="14972811.1462842"/>
    <n v="84.240100803366502"/>
    <n v="83.386730761002696"/>
    <n v="91.953074944477905"/>
    <n v="5410684.5199998599"/>
    <n v="4472262.3900000304"/>
    <n v="8940167"/>
    <n v="12938156"/>
    <n v="236824735.15547401"/>
    <n v="38220"/>
    <n v="32028"/>
    <n v="28063"/>
    <n v="21470"/>
    <n v="13344"/>
  </r>
  <r>
    <x v="1"/>
    <n v="25101804"/>
    <n v="25136"/>
    <x v="2"/>
    <x v="10"/>
    <n v="19758634.281327099"/>
    <n v="21009992.249722"/>
    <n v="19779503.593159601"/>
    <n v="18486407.001099799"/>
    <n v="835.85265156437197"/>
    <n v="786.89941093092204"/>
    <n v="735.45540265355601"/>
    <n v="7502162.0399999898"/>
    <n v="9372468.7399999909"/>
    <n v="10475857"/>
    <n v="8585258"/>
    <n v="280132143.77862197"/>
    <n v="1563"/>
    <n v="1386"/>
    <n v="1233"/>
    <n v="1055"/>
    <n v="719"/>
  </r>
  <r>
    <x v="1"/>
    <n v="25101804"/>
    <n v="27506"/>
    <x v="2"/>
    <x v="11"/>
    <n v="-130777.39978224901"/>
    <n v="-151665.669757533"/>
    <n v="-144185.88984045701"/>
    <n v="-96480.639748760499"/>
    <n v="-5.5139122285149798"/>
    <n v="-5.2419795622939596"/>
    <n v="-3.5076216006965901"/>
    <n v="25936.159999999902"/>
    <n v="5773.8099999999904"/>
    <n v="187121"/>
    <n v="853269"/>
    <n v="1367304351.8338799"/>
    <n v="14066"/>
    <n v="12834"/>
    <n v="10387"/>
    <n v="6398"/>
    <n v="4287"/>
  </r>
  <r>
    <x v="1"/>
    <n v="25101804"/>
    <n v="806206"/>
    <x v="3"/>
    <x v="0"/>
    <n v="2355622.0896818899"/>
    <n v="1621328.20836789"/>
    <n v="1765201.8617275199"/>
    <n v="3680336.19895051"/>
    <n v="2.0110594666473398"/>
    <n v="2.18951714788468"/>
    <n v="4.5650072052930799"/>
    <n v="648950.29000001599"/>
    <n v="307774.03999999899"/>
    <n v="1140885"/>
    <n v="6357197"/>
    <n v="423229519.656555"/>
    <n v="625407"/>
    <n v="558741"/>
    <n v="478248"/>
    <n v="258758"/>
    <n v="130268"/>
  </r>
  <r>
    <x v="1"/>
    <n v="25101804"/>
    <n v="363628"/>
    <x v="3"/>
    <x v="1"/>
    <n v="6026156.4428485604"/>
    <n v="4848002.7357519204"/>
    <n v="4854173.1380892396"/>
    <n v="8376293.45470565"/>
    <n v="13.3323141665436"/>
    <n v="13.3492831632581"/>
    <n v="23.0353368131872"/>
    <n v="1908417.2599999199"/>
    <n v="1265915.3000000101"/>
    <n v="3755960"/>
    <n v="8999658"/>
    <n v="104445800.469386"/>
    <n v="193433"/>
    <n v="162022"/>
    <n v="138053"/>
    <n v="84819"/>
    <n v="43934"/>
  </r>
  <r>
    <x v="1"/>
    <n v="25101804"/>
    <n v="71432"/>
    <x v="3"/>
    <x v="2"/>
    <n v="7972369.4728136603"/>
    <n v="8067766.3055058904"/>
    <n v="7589955.0051950105"/>
    <n v="8259387.1077402001"/>
    <n v="112.943306998346"/>
    <n v="106.254269867776"/>
    <n v="115.625869466628"/>
    <n v="2772630.4199999799"/>
    <n v="2735727.9600000102"/>
    <n v="5579679"/>
    <n v="7800364"/>
    <n v="137316881.32407299"/>
    <n v="10717"/>
    <n v="8633"/>
    <n v="7363"/>
    <n v="5791"/>
    <n v="3803"/>
  </r>
  <r>
    <x v="1"/>
    <n v="25101804"/>
    <n v="48739"/>
    <x v="3"/>
    <x v="3"/>
    <n v="6663923.6765936697"/>
    <n v="6804173.7200047597"/>
    <n v="6370865.5957100103"/>
    <n v="6816731.71406624"/>
    <n v="139.60429471275"/>
    <n v="130.71391689837699"/>
    <n v="139.86195272915401"/>
    <n v="2279785.3299999898"/>
    <n v="2342609.9509000001"/>
    <n v="4849212"/>
    <n v="5965497"/>
    <n v="114201954.945888"/>
    <n v="6332"/>
    <n v="5119"/>
    <n v="4406"/>
    <n v="3588"/>
    <n v="2383"/>
  </r>
  <r>
    <x v="1"/>
    <n v="25101804"/>
    <n v="59495"/>
    <x v="3"/>
    <x v="4"/>
    <n v="10259304.699689301"/>
    <n v="10543483.416632"/>
    <n v="9883601.9564869292"/>
    <n v="10350828.725949001"/>
    <n v="177.216294085756"/>
    <n v="166.124917328967"/>
    <n v="173.97812800989999"/>
    <n v="3468973.8599999798"/>
    <n v="3715065.38090001"/>
    <n v="7452037"/>
    <n v="8406146"/>
    <n v="173261165.935316"/>
    <n v="6744"/>
    <n v="5499"/>
    <n v="4736"/>
    <n v="3841"/>
    <n v="2588"/>
  </r>
  <r>
    <x v="1"/>
    <n v="25101804"/>
    <n v="54199"/>
    <x v="3"/>
    <x v="5"/>
    <n v="13116592.925536999"/>
    <n v="13650808.289798601"/>
    <n v="12733403.559448"/>
    <n v="12965566.9273644"/>
    <n v="251.864578494044"/>
    <n v="234.937979657337"/>
    <n v="239.221515661994"/>
    <n v="4360077.2599999802"/>
    <n v="4951043.2545000101"/>
    <n v="9635280"/>
    <n v="9328970"/>
    <n v="214541945.91080999"/>
    <n v="4742"/>
    <n v="3928"/>
    <n v="3390"/>
    <n v="2833"/>
    <n v="1930"/>
  </r>
  <r>
    <x v="1"/>
    <n v="25101804"/>
    <n v="320583"/>
    <x v="3"/>
    <x v="6"/>
    <n v="11598834.219929799"/>
    <n v="10545930.275705799"/>
    <n v="10157356.711237799"/>
    <n v="14093215.6728465"/>
    <n v="32.896099530249202"/>
    <n v="31.684015407048399"/>
    <n v="43.961207153362999"/>
    <n v="4004563.6199998301"/>
    <n v="3207469.2600000701"/>
    <n v="7247574"/>
    <n v="14612561"/>
    <n v="196314842.22760201"/>
    <n v="112737"/>
    <n v="91246"/>
    <n v="77520"/>
    <n v="53374"/>
    <n v="30218"/>
  </r>
  <r>
    <x v="1"/>
    <n v="25101804"/>
    <n v="34275"/>
    <x v="3"/>
    <x v="7"/>
    <n v="12958498.7680234"/>
    <n v="13664916.8932113"/>
    <n v="12650872.7007991"/>
    <n v="12559706.710059701"/>
    <n v="398.68466500981299"/>
    <n v="369.09913058494999"/>
    <n v="366.43929132194802"/>
    <n v="4248987.4499999797"/>
    <n v="5296661.07"/>
    <n v="8713849"/>
    <n v="7532088"/>
    <n v="195610509.526889"/>
    <n v="2298"/>
    <n v="1941"/>
    <n v="1692"/>
    <n v="1438"/>
    <n v="1017"/>
  </r>
  <r>
    <x v="1"/>
    <n v="25101804"/>
    <n v="180858"/>
    <x v="3"/>
    <x v="8"/>
    <n v="11106424.674920199"/>
    <n v="10779108.1968707"/>
    <n v="10196878.4998089"/>
    <n v="12343287.3280812"/>
    <n v="59.599841847586198"/>
    <n v="56.380577579144898"/>
    <n v="68.2485006363069"/>
    <n v="3921762.9799999199"/>
    <n v="3469942.49000003"/>
    <n v="7108422"/>
    <n v="12554783"/>
    <n v="190993537.29312199"/>
    <n v="42740"/>
    <n v="34169"/>
    <n v="29120"/>
    <n v="21889"/>
    <n v="13320"/>
  </r>
  <r>
    <x v="1"/>
    <n v="25101804"/>
    <n v="110551"/>
    <x v="3"/>
    <x v="9"/>
    <n v="9566983.2978678606"/>
    <n v="9522965.3231947105"/>
    <n v="8984187.79333633"/>
    <n v="10193796.7770725"/>
    <n v="86.140924308189994"/>
    <n v="81.267358896222802"/>
    <n v="92.208996545237596"/>
    <n v="3371482.3599999598"/>
    <n v="3171160.34090001"/>
    <n v="6302003"/>
    <n v="9869711"/>
    <n v="165498265.884794"/>
    <n v="20290"/>
    <n v="16354"/>
    <n v="13977"/>
    <n v="10823"/>
    <n v="6907"/>
  </r>
  <r>
    <x v="1"/>
    <n v="25101804"/>
    <n v="19406"/>
    <x v="3"/>
    <x v="10"/>
    <n v="15419163.262192"/>
    <n v="16523056.1480463"/>
    <n v="15263001.8606571"/>
    <n v="14471431.777872499"/>
    <n v="851.44059301485595"/>
    <n v="786.50942289277202"/>
    <n v="745.71945675938105"/>
    <n v="5119970.7599999802"/>
    <n v="7726981.1200000104"/>
    <n v="8090357"/>
    <n v="6121967"/>
    <n v="218152857.436158"/>
    <n v="792"/>
    <n v="667"/>
    <n v="591"/>
    <n v="503"/>
    <n v="348"/>
  </r>
  <r>
    <x v="1"/>
    <n v="25101804"/>
    <n v="13951"/>
    <x v="3"/>
    <x v="11"/>
    <n v="-174369.90426032199"/>
    <n v="-206026.04089203401"/>
    <n v="-176100.091977542"/>
    <n v="-140983.57991138901"/>
    <n v="-14.767833194182"/>
    <n v="-12.622757650171501"/>
    <n v="-10.1056253968453"/>
    <n v="15116.59"/>
    <n v="4091.9099999999899"/>
    <n v="1454283"/>
    <n v="222286"/>
    <n v="470820884.66599798"/>
    <n v="5786"/>
    <n v="5046"/>
    <n v="4227"/>
    <n v="2827"/>
    <n v="1927"/>
  </r>
  <r>
    <x v="1"/>
    <n v="25101804"/>
    <n v="519267"/>
    <x v="4"/>
    <x v="0"/>
    <n v="1489727.49952256"/>
    <n v="1178685.39281664"/>
    <n v="1141096.05372801"/>
    <n v="2149401.0520228599"/>
    <n v="2.2699023677927599"/>
    <n v="2.1975131362632498"/>
    <n v="4.1392983802607599"/>
    <n v="406149.11000000901"/>
    <n v="201644.78"/>
    <n v="818878"/>
    <n v="4869341"/>
    <n v="556045970.85581601"/>
    <n v="377224"/>
    <n v="334948"/>
    <n v="285716"/>
    <n v="158203"/>
    <n v="82649"/>
  </r>
  <r>
    <x v="1"/>
    <n v="25101804"/>
    <n v="231646"/>
    <x v="4"/>
    <x v="1"/>
    <n v="3862921.1911404198"/>
    <n v="3315513.4765437702"/>
    <n v="3155164.5878517199"/>
    <n v="5118085.5090260599"/>
    <n v="14.312845792907099"/>
    <n v="13.6206305649643"/>
    <n v="22.0944264482272"/>
    <n v="1268952.48999998"/>
    <n v="869585.95999999798"/>
    <n v="2723464"/>
    <n v="6602568"/>
    <n v="79054369.506296098"/>
    <n v="113101"/>
    <n v="93441"/>
    <n v="78327"/>
    <n v="47749"/>
    <n v="25249"/>
  </r>
  <r>
    <x v="1"/>
    <n v="25101804"/>
    <n v="53872"/>
    <x v="4"/>
    <x v="2"/>
    <n v="6017965.48637369"/>
    <n v="6307554.86490288"/>
    <n v="5767571.9966128198"/>
    <n v="5978769.5976053998"/>
    <n v="117.08410426386401"/>
    <n v="107.06066224778699"/>
    <n v="110.981021636572"/>
    <n v="2045281.3499999801"/>
    <n v="2102530.64"/>
    <n v="4235900"/>
    <n v="6197370"/>
    <n v="116807438.681191"/>
    <n v="6466"/>
    <n v="5097"/>
    <n v="4299"/>
    <n v="3372"/>
    <n v="2276"/>
  </r>
  <r>
    <x v="1"/>
    <n v="25101804"/>
    <n v="36892"/>
    <x v="4"/>
    <x v="3"/>
    <n v="5046420.3267866801"/>
    <n v="5304060.5571080297"/>
    <n v="4865121.5783259999"/>
    <n v="4970078.8449260201"/>
    <n v="143.77264873435999"/>
    <n v="131.87470395549099"/>
    <n v="134.719691123442"/>
    <n v="1691991.1099999901"/>
    <n v="1796761.67"/>
    <n v="3574036"/>
    <n v="4807048"/>
    <n v="95684633.470836595"/>
    <n v="3794"/>
    <n v="2977"/>
    <n v="2478"/>
    <n v="1999"/>
    <n v="1337"/>
  </r>
  <r>
    <x v="1"/>
    <n v="25101804"/>
    <n v="45753"/>
    <x v="4"/>
    <x v="4"/>
    <n v="7888725.7740904102"/>
    <n v="8353576.5168140298"/>
    <n v="7635974.3381818198"/>
    <n v="7676626.46727541"/>
    <n v="182.57986398299599"/>
    <n v="166.895598937377"/>
    <n v="167.78411180196699"/>
    <n v="2569663.8499999801"/>
    <n v="2903325.1508999998"/>
    <n v="5624373"/>
    <n v="6943702"/>
    <n v="148909736.44256601"/>
    <n v="3997"/>
    <n v="3194"/>
    <n v="2685"/>
    <n v="2181"/>
    <n v="1486"/>
  </r>
  <r>
    <x v="1"/>
    <n v="25101804"/>
    <n v="42237"/>
    <x v="4"/>
    <x v="5"/>
    <n v="10223160.6582091"/>
    <n v="10831239.1271143"/>
    <n v="9984722.9606715497"/>
    <n v="9853519.8868415095"/>
    <n v="256.43959388958302"/>
    <n v="236.39754150795599"/>
    <n v="233.29118750956499"/>
    <n v="3221178.8399999901"/>
    <n v="3902432.42"/>
    <n v="7341557"/>
    <n v="7680933"/>
    <n v="182021617.26396599"/>
    <n v="2909"/>
    <n v="2359"/>
    <n v="1990"/>
    <n v="1620"/>
    <n v="1141"/>
  </r>
  <r>
    <x v="1"/>
    <n v="25101804"/>
    <n v="218795"/>
    <x v="4"/>
    <x v="6"/>
    <n v="7950724.5131965997"/>
    <n v="7641445.6974758198"/>
    <n v="7093727.6540702796"/>
    <n v="9117000.1880439799"/>
    <n v="34.9251385885226"/>
    <n v="32.421799648393602"/>
    <n v="41.6691432073127"/>
    <n v="2838953.7299999301"/>
    <n v="2270543.2000000202"/>
    <n v="5322051"/>
    <n v="11103349"/>
    <n v="154458208.40478501"/>
    <n v="66747"/>
    <n v="52840"/>
    <n v="43963"/>
    <n v="30374"/>
    <n v="17442"/>
  </r>
  <r>
    <x v="1"/>
    <n v="25101804"/>
    <n v="27042"/>
    <x v="4"/>
    <x v="7"/>
    <n v="10216782.901017301"/>
    <n v="10860730.353488499"/>
    <n v="10014450.667296199"/>
    <n v="9775167.6822674293"/>
    <n v="401.62452309328199"/>
    <n v="370.32951214023501"/>
    <n v="361.48094380102901"/>
    <n v="3135129.4599999902"/>
    <n v="4237208.1709000003"/>
    <n v="6887301"/>
    <n v="6074813"/>
    <n v="159510577.18158099"/>
    <n v="1380"/>
    <n v="1117"/>
    <n v="943"/>
    <n v="804"/>
    <n v="550"/>
  </r>
  <r>
    <x v="1"/>
    <n v="25101804"/>
    <n v="130875"/>
    <x v="4"/>
    <x v="8"/>
    <n v="8044738.2162216501"/>
    <n v="8150145.72872095"/>
    <n v="7487689.3095636796"/>
    <n v="8496379.6103803702"/>
    <n v="62.274274909042603"/>
    <n v="57.212525765529499"/>
    <n v="64.919806000996203"/>
    <n v="2876074.5799999498"/>
    <n v="2564294.2300000102"/>
    <n v="5328323"/>
    <n v="9831542"/>
    <n v="157430057.00224501"/>
    <n v="25646"/>
    <n v="20031"/>
    <n v="16695"/>
    <n v="12441"/>
    <n v="7697"/>
  </r>
  <r>
    <x v="1"/>
    <n v="25101804"/>
    <n v="81038"/>
    <x v="4"/>
    <x v="9"/>
    <n v="7014537.9543911004"/>
    <n v="7262150.3549265703"/>
    <n v="6642951.2916317796"/>
    <n v="7138512.2166150203"/>
    <n v="89.614136021700602"/>
    <n v="81.973287737009599"/>
    <n v="88.088455004010697"/>
    <n v="2455785.5999999698"/>
    <n v="2376353.7917999998"/>
    <n v="4789019"/>
    <n v="7905591"/>
    <n v="135638407.566811"/>
    <n v="11976"/>
    <n v="9431"/>
    <n v="7940"/>
    <n v="6155"/>
    <n v="3969"/>
  </r>
  <r>
    <x v="1"/>
    <n v="25101804"/>
    <n v="15769"/>
    <x v="4"/>
    <x v="10"/>
    <n v="12618804.646713501"/>
    <n v="13608147.516070601"/>
    <n v="12464911.1356372"/>
    <n v="11783355.288432701"/>
    <n v="862.968324945821"/>
    <n v="790.46934717720001"/>
    <n v="747.24809997037198"/>
    <n v="3880020.5599999898"/>
    <n v="6521557.5909000002"/>
    <n v="6468324"/>
    <n v="5021139"/>
    <n v="177862802.089836"/>
    <n v="513"/>
    <n v="416"/>
    <n v="361"/>
    <n v="307"/>
    <n v="218"/>
  </r>
  <r>
    <x v="1"/>
    <n v="25101804"/>
    <n v="13175"/>
    <x v="4"/>
    <x v="11"/>
    <n v="-83854.802473689095"/>
    <n v="-69564.8130020471"/>
    <n v="-95592.840448214702"/>
    <n v="-86406.753970805396"/>
    <n v="-5.2800617079352596"/>
    <n v="-7.2556235634318504"/>
    <n v="-6.5583873981635898"/>
    <n v="10161.049999999999"/>
    <n v="5232.1899999999996"/>
    <n v="59237"/>
    <n v="49127"/>
    <n v="738281714.58378196"/>
    <n v="4692"/>
    <n v="4261"/>
    <n v="3690"/>
    <n v="2638"/>
    <n v="1991"/>
  </r>
  <r>
    <x v="1"/>
    <n v="25101804"/>
    <n v="1486929"/>
    <x v="5"/>
    <x v="0"/>
    <n v="5035099.0955808898"/>
    <n v="4711457.9554786002"/>
    <n v="4180101.2409184398"/>
    <n v="6213738.0903482595"/>
    <n v="3.1685830026037598"/>
    <n v="2.8112312295465598"/>
    <n v="4.1789070563209503"/>
    <n v="1911790.3104999501"/>
    <n v="435799.91669999302"/>
    <n v="2743971"/>
    <n v="41898754"/>
    <n v="153193721.30061701"/>
    <n v="756689"/>
    <n v="593361"/>
    <n v="458250"/>
    <n v="254033"/>
    <n v="136309"/>
  </r>
  <r>
    <x v="1"/>
    <n v="25101804"/>
    <n v="1020153"/>
    <x v="5"/>
    <x v="1"/>
    <n v="17446342.177241001"/>
    <n v="17227179.787014801"/>
    <n v="14747897.0281338"/>
    <n v="20363949.716575202"/>
    <n v="16.8868589192159"/>
    <n v="14.4565540934877"/>
    <n v="19.961662335527301"/>
    <n v="8901155.1918992102"/>
    <n v="2433332.9072000799"/>
    <n v="14265721"/>
    <n v="64615801"/>
    <n v="212240936.03186801"/>
    <n v="223394"/>
    <n v="152008"/>
    <n v="111458"/>
    <n v="63798"/>
    <n v="33095"/>
  </r>
  <r>
    <x v="1"/>
    <n v="25101804"/>
    <n v="569382"/>
    <x v="5"/>
    <x v="2"/>
    <n v="63764349.321721204"/>
    <n v="66940309.194116898"/>
    <n v="58936955.243745901"/>
    <n v="65415783.5273012"/>
    <n v="117.56660588869499"/>
    <n v="103.510394153215"/>
    <n v="114.88909647179"/>
    <n v="30373395.772700202"/>
    <n v="17392368.804399598"/>
    <n v="50749460"/>
    <n v="100768269"/>
    <n v="600540098.01665699"/>
    <n v="18612"/>
    <n v="12588"/>
    <n v="9459"/>
    <n v="6799"/>
    <n v="4249"/>
  </r>
  <r>
    <x v="1"/>
    <n v="25101804"/>
    <n v="451289"/>
    <x v="5"/>
    <x v="3"/>
    <n v="61834862.105666503"/>
    <n v="65113583.740151398"/>
    <n v="57506775.138112098"/>
    <n v="62884227.438736498"/>
    <n v="144.28356051255699"/>
    <n v="127.427823718531"/>
    <n v="139.343585681761"/>
    <n v="28581776.8743002"/>
    <n v="17838736.303199701"/>
    <n v="49497747"/>
    <n v="88680914"/>
    <n v="589630158.09325504"/>
    <n v="11838"/>
    <n v="8099"/>
    <n v="6140"/>
    <n v="4454"/>
    <n v="2751"/>
  </r>
  <r>
    <x v="1"/>
    <n v="25101804"/>
    <n v="657748"/>
    <x v="5"/>
    <x v="4"/>
    <n v="113985284.14642499"/>
    <n v="120542083.04047"/>
    <n v="106759505.97239199"/>
    <n v="114654263.426414"/>
    <n v="183.26484161178701"/>
    <n v="162.310650845601"/>
    <n v="174.313359259799"/>
    <n v="51019354.343300901"/>
    <n v="34985084.698299304"/>
    <n v="91992871"/>
    <n v="145546769"/>
    <n v="1090680250.32534"/>
    <n v="13288"/>
    <n v="9259"/>
    <n v="6982"/>
    <n v="5161"/>
    <n v="3203"/>
  </r>
  <r>
    <x v="1"/>
    <n v="25101804"/>
    <n v="766209"/>
    <x v="5"/>
    <x v="5"/>
    <n v="187181669.57221201"/>
    <n v="198760599.13328901"/>
    <n v="176979732.20733801"/>
    <n v="185804677.37600899"/>
    <n v="259.40781057556001"/>
    <n v="230.98101458914999"/>
    <n v="242.498688185612"/>
    <n v="79215928.368399993"/>
    <n v="63095998.826999001"/>
    <n v="150798791"/>
    <n v="202001537"/>
    <n v="1795577618.2078199"/>
    <n v="10691"/>
    <n v="7482"/>
    <n v="5676"/>
    <n v="4224"/>
    <n v="2697"/>
  </r>
  <r>
    <x v="1"/>
    <n v="25101804"/>
    <n v="1271742"/>
    <x v="5"/>
    <x v="6"/>
    <n v="46891097.679257102"/>
    <n v="47878270.350446001"/>
    <n v="41269253.534787796"/>
    <n v="51525769.152536698"/>
    <n v="37.647785754064898"/>
    <n v="32.450963744837999"/>
    <n v="40.515897998600799"/>
    <n v="25013065.815801501"/>
    <n v="8564343.4211999606"/>
    <n v="38925617"/>
    <n v="122234754"/>
    <n v="465636459.95267397"/>
    <n v="142416"/>
    <n v="94105"/>
    <n v="69418"/>
    <n v="43181"/>
    <n v="23451"/>
  </r>
  <r>
    <x v="1"/>
    <n v="25101804"/>
    <n v="642292"/>
    <x v="5"/>
    <x v="7"/>
    <n v="245427045.585886"/>
    <n v="262407511.991537"/>
    <n v="234154680.01126501"/>
    <n v="239718944.75485599"/>
    <n v="408.54862273162001"/>
    <n v="364.56110306724202"/>
    <n v="373.22424186329101"/>
    <n v="95652846.516900793"/>
    <n v="94160494.410500303"/>
    <n v="188024524"/>
    <n v="211882987"/>
    <n v="2319427618.14785"/>
    <n v="5659"/>
    <n v="4102"/>
    <n v="3156"/>
    <n v="2385"/>
    <n v="1574"/>
  </r>
  <r>
    <x v="1"/>
    <n v="25101804"/>
    <n v="954551"/>
    <x v="5"/>
    <x v="8"/>
    <n v="59112367.136041202"/>
    <n v="61361167.116570197"/>
    <n v="53358909.633641899"/>
    <n v="62617024.657911301"/>
    <n v="64.2827540032646"/>
    <n v="55.899485342995703"/>
    <n v="65.598406641354202"/>
    <n v="30455921.817800999"/>
    <n v="13345529.262199501"/>
    <n v="47455067"/>
    <n v="121982134"/>
    <n v="563838956.37056506"/>
    <n v="60637"/>
    <n v="40289"/>
    <n v="30073"/>
    <n v="20174"/>
    <n v="11441"/>
  </r>
  <r>
    <x v="1"/>
    <n v="25101804"/>
    <n v="730975"/>
    <x v="5"/>
    <x v="9"/>
    <n v="63575270.348105803"/>
    <n v="66543348.653693102"/>
    <n v="58266462.915729403"/>
    <n v="65915999.474894702"/>
    <n v="91.033686040826495"/>
    <n v="79.710609686691697"/>
    <n v="90.175449878442805"/>
    <n v="31462335.5768006"/>
    <n v="16112910.092899499"/>
    <n v="50519602"/>
    <n v="112630721"/>
    <n v="600279360.31760001"/>
    <n v="31785"/>
    <n v="21384"/>
    <n v="15980"/>
    <n v="11139"/>
    <n v="6529"/>
  </r>
  <r>
    <x v="1"/>
    <n v="25101804"/>
    <n v="471944"/>
    <x v="5"/>
    <x v="10"/>
    <n v="384672373.56719398"/>
    <n v="417196977.31672001"/>
    <n v="370897112.03685498"/>
    <n v="365923031.34799802"/>
    <n v="883.99678206888996"/>
    <n v="785.89220762814102"/>
    <n v="775.35265062803705"/>
    <n v="143683641.29789901"/>
    <n v="185905318.69389999"/>
    <n v="235563162"/>
    <n v="221047471"/>
    <n v="3666243222.2088199"/>
    <n v="2067"/>
    <n v="1498"/>
    <n v="1125"/>
    <n v="882"/>
    <n v="584"/>
  </r>
  <r>
    <x v="1"/>
    <n v="25101804"/>
    <n v="16153"/>
    <x v="5"/>
    <x v="11"/>
    <n v="-238708.37182445001"/>
    <n v="-281847.09724168503"/>
    <n v="-226870.52842946001"/>
    <n v="-207407.489802205"/>
    <n v="-17.448591422131098"/>
    <n v="-14.0451017414387"/>
    <n v="-12.840183854528799"/>
    <n v="98567.952999999907"/>
    <n v="19369.349999999999"/>
    <n v="152260"/>
    <n v="418196"/>
    <n v="3360846.8789453502"/>
    <n v="7211"/>
    <n v="6062"/>
    <n v="4819"/>
    <n v="3127"/>
    <n v="1978"/>
  </r>
  <r>
    <x v="2"/>
    <n v="24866757"/>
    <n v="3090305"/>
    <x v="0"/>
    <x v="0"/>
    <n v="7508578.7262776904"/>
    <n v="12811655.871401301"/>
    <n v="6590991.7589086201"/>
    <n v="3123088.5485509499"/>
    <n v="4.1457577395763003"/>
    <n v="2.1327965229673498"/>
    <n v="1.0106085155190001"/>
    <n v="6538204.9899944896"/>
    <n v="3068311.0100008198"/>
    <n v="8870109"/>
    <n v="15497069"/>
    <n v="1038441127.53813"/>
    <n v="2380917"/>
    <n v="2167884"/>
    <n v="2005323"/>
    <n v="1423906"/>
    <n v="0"/>
  </r>
  <r>
    <x v="2"/>
    <n v="24866757"/>
    <n v="1215367"/>
    <x v="0"/>
    <x v="1"/>
    <n v="17668521.8615539"/>
    <n v="27965740.581564698"/>
    <n v="16572148.5928452"/>
    <n v="8467676.4102714509"/>
    <n v="23.010120055559099"/>
    <n v="13.635509761944499"/>
    <n v="6.9671765074018399"/>
    <n v="11569070.5600024"/>
    <n v="7874999.5800005998"/>
    <n v="15900098"/>
    <n v="19684114"/>
    <n v="666784951.67289603"/>
    <n v="733711"/>
    <n v="665007"/>
    <n v="622559"/>
    <n v="458784"/>
    <n v="0"/>
  </r>
  <r>
    <x v="2"/>
    <n v="24866757"/>
    <n v="73394"/>
    <x v="0"/>
    <x v="2"/>
    <n v="8180512.8273417903"/>
    <n v="12559208.315112401"/>
    <n v="9014215.8620848097"/>
    <n v="2968114.3048283099"/>
    <n v="171.12036835589299"/>
    <n v="122.819520152666"/>
    <n v="40.440830378890801"/>
    <n v="5162758.29999993"/>
    <n v="3744558.4609000199"/>
    <n v="7438607"/>
    <n v="7502983"/>
    <n v="240117623.38959101"/>
    <n v="13852"/>
    <n v="11847"/>
    <n v="10552"/>
    <n v="9172"/>
    <n v="0"/>
  </r>
  <r>
    <x v="2"/>
    <n v="24866757"/>
    <n v="46769"/>
    <x v="0"/>
    <x v="3"/>
    <n v="6389108.3389386795"/>
    <n v="9710413.1322002094"/>
    <n v="7095337.2765311198"/>
    <n v="2361574.6080847499"/>
    <n v="207.62498946311001"/>
    <n v="151.71026270673099"/>
    <n v="50.494443073077399"/>
    <n v="3872358.74999998"/>
    <n v="3007234.87"/>
    <n v="5697010"/>
    <n v="5528277"/>
    <n v="183320504.12676901"/>
    <n v="8109"/>
    <n v="6933"/>
    <n v="6240"/>
    <n v="5432"/>
    <n v="0"/>
  </r>
  <r>
    <x v="2"/>
    <n v="24866757"/>
    <n v="52132"/>
    <x v="0"/>
    <x v="4"/>
    <n v="8958342.8723771591"/>
    <n v="13464892.5832735"/>
    <n v="10060386.474789901"/>
    <n v="3349749.55906806"/>
    <n v="258.28459647190903"/>
    <n v="192.97910064432401"/>
    <n v="64.255151520525999"/>
    <n v="5242872.9599999599"/>
    <n v="4359831.4300000099"/>
    <n v="7813642"/>
    <n v="7085479"/>
    <n v="247742616.63916999"/>
    <n v="8012"/>
    <n v="7004"/>
    <n v="6343"/>
    <n v="5485"/>
    <n v="0"/>
  </r>
  <r>
    <x v="2"/>
    <n v="24866757"/>
    <n v="42093"/>
    <x v="0"/>
    <x v="5"/>
    <n v="10127407.3450047"/>
    <n v="14908437.7128403"/>
    <n v="11624216.2233424"/>
    <n v="3849568.09883158"/>
    <n v="354.17855018269802"/>
    <n v="276.15556561286797"/>
    <n v="91.453878289301898"/>
    <n v="5664973.8599999603"/>
    <n v="5167019.4500000104"/>
    <n v="8450159"/>
    <n v="7112176"/>
    <n v="261458300.79828301"/>
    <n v="5710"/>
    <n v="5052"/>
    <n v="4589"/>
    <n v="4099"/>
    <n v="0"/>
  </r>
  <r>
    <x v="2"/>
    <n v="24866757"/>
    <n v="549597"/>
    <x v="0"/>
    <x v="6"/>
    <n v="19509109.854399201"/>
    <n v="32752873.898189802"/>
    <n v="19045509.4268906"/>
    <n v="6728946.2381219296"/>
    <n v="59.594346217664601"/>
    <n v="34.653590588905402"/>
    <n v="12.2434187925369"/>
    <n v="14776971.8900024"/>
    <n v="9254108.3700000402"/>
    <n v="18125096"/>
    <n v="23814792"/>
    <n v="620983648.72003901"/>
    <n v="187261"/>
    <n v="155617"/>
    <n v="137538"/>
    <n v="112226"/>
    <n v="0"/>
  </r>
  <r>
    <x v="2"/>
    <n v="24866757"/>
    <n v="22178"/>
    <x v="0"/>
    <x v="7"/>
    <n v="8320106.3396346597"/>
    <n v="11996062.9103703"/>
    <n v="9618587.3505926505"/>
    <n v="3345668.7579410598"/>
    <n v="540.89922041528996"/>
    <n v="433.69949276727601"/>
    <n v="150.855296146679"/>
    <n v="4395544.7799999798"/>
    <n v="4697774.0599999996"/>
    <n v="6258158"/>
    <n v="4898473"/>
    <n v="191263682.86850399"/>
    <n v="2380"/>
    <n v="2089"/>
    <n v="1899"/>
    <n v="1685"/>
    <n v="0"/>
  </r>
  <r>
    <x v="2"/>
    <n v="24866757"/>
    <n v="242149"/>
    <x v="0"/>
    <x v="8"/>
    <n v="14786820.080210101"/>
    <n v="23837047.597343199"/>
    <n v="15399104.189899299"/>
    <n v="5124308.4533888297"/>
    <n v="98.439587185341495"/>
    <n v="63.593507261641797"/>
    <n v="21.161798947709102"/>
    <n v="10226997.4799999"/>
    <n v="6851888.1009001099"/>
    <n v="13551559"/>
    <n v="16095580"/>
    <n v="461224183.33296502"/>
    <n v="62330"/>
    <n v="52100"/>
    <n v="46308"/>
    <n v="38927"/>
    <n v="0"/>
  </r>
  <r>
    <x v="2"/>
    <n v="24866757"/>
    <n v="126789"/>
    <x v="0"/>
    <x v="9"/>
    <n v="10937544.208987899"/>
    <n v="17174269.806418698"/>
    <n v="11785026.317004399"/>
    <n v="3853336.5035408898"/>
    <n v="135.455519062527"/>
    <n v="92.949911404021194"/>
    <n v="30.391725650812699"/>
    <n v="7155610.3099997696"/>
    <n v="5054938.9009000296"/>
    <n v="10032947"/>
    <n v="10896968"/>
    <n v="332549288.38379699"/>
    <n v="26877"/>
    <n v="22688"/>
    <n v="20115"/>
    <n v="17187"/>
    <n v="0"/>
  </r>
  <r>
    <x v="2"/>
    <n v="24866757"/>
    <n v="9873"/>
    <x v="0"/>
    <x v="10"/>
    <n v="7941731.6555586401"/>
    <n v="10642589.5113186"/>
    <n v="9643798.7430866398"/>
    <n v="3538806.7122706398"/>
    <n v="1077.94890218967"/>
    <n v="976.78504437219101"/>
    <n v="358.43276737269701"/>
    <n v="3459536.1099999901"/>
    <n v="4926135.6899999902"/>
    <n v="4226322"/>
    <n v="3467367"/>
    <n v="150650636.22136399"/>
    <n v="773"/>
    <n v="693"/>
    <n v="633"/>
    <n v="527"/>
    <n v="0"/>
  </r>
  <r>
    <x v="2"/>
    <n v="24866757"/>
    <n v="86115"/>
    <x v="0"/>
    <x v="11"/>
    <n v="-177441.13084585301"/>
    <n v="-257911.31543013599"/>
    <n v="-185036.90999702501"/>
    <n v="-89375.167110403607"/>
    <n v="-2.9949638904968401"/>
    <n v="-2.14871869008913"/>
    <n v="-1.0378582954236"/>
    <n v="42069.229999999799"/>
    <n v="10654.89"/>
    <n v="316092"/>
    <n v="145488"/>
    <n v="435975425.37522298"/>
    <n v="32476"/>
    <n v="30620"/>
    <n v="29186"/>
    <n v="23082"/>
    <n v="0"/>
  </r>
  <r>
    <x v="2"/>
    <n v="24866757"/>
    <n v="1017304"/>
    <x v="1"/>
    <x v="0"/>
    <n v="2900096.0161916502"/>
    <n v="2371502.6986700501"/>
    <n v="2593532.56182819"/>
    <n v="3735252.78807778"/>
    <n v="2.3311642327859299"/>
    <n v="2.5494174424048199"/>
    <n v="3.6717173903550702"/>
    <n v="870621.59000001405"/>
    <n v="389609.919999993"/>
    <n v="1349452"/>
    <n v="14167995"/>
    <n v="820031226.28462696"/>
    <n v="732598"/>
    <n v="607483"/>
    <n v="490740"/>
    <n v="273388"/>
    <n v="0"/>
  </r>
  <r>
    <x v="2"/>
    <n v="24866757"/>
    <n v="500796"/>
    <x v="1"/>
    <x v="1"/>
    <n v="8418495.4283352401"/>
    <n v="7600915.8796449602"/>
    <n v="7945642.9233045997"/>
    <n v="9708927.48205732"/>
    <n v="15.1776689103846"/>
    <n v="15.866027131415899"/>
    <n v="19.386990874642201"/>
    <n v="3006978.3899997999"/>
    <n v="1782134.1100000399"/>
    <n v="5202690"/>
    <n v="17820885"/>
    <n v="138602208.22857699"/>
    <n v="216700"/>
    <n v="158739"/>
    <n v="124364"/>
    <n v="80446"/>
    <n v="0"/>
  </r>
  <r>
    <x v="2"/>
    <n v="24866757"/>
    <n v="159191"/>
    <x v="1"/>
    <x v="2"/>
    <n v="17794270.3740848"/>
    <n v="17567542.3113054"/>
    <n v="18801753.365967799"/>
    <n v="17013515.444981501"/>
    <n v="110.355122533971"/>
    <n v="118.108142834505"/>
    <n v="106.874857529518"/>
    <n v="5704854.3399998797"/>
    <n v="5940141.3300000504"/>
    <n v="9138331"/>
    <n v="19261425"/>
    <n v="260195523.17420399"/>
    <n v="15904"/>
    <n v="11403"/>
    <n v="9213"/>
    <n v="7427"/>
    <n v="0"/>
  </r>
  <r>
    <x v="2"/>
    <n v="24866757"/>
    <n v="114969"/>
    <x v="1"/>
    <x v="3"/>
    <n v="15736025.1607526"/>
    <n v="15612570.4947899"/>
    <n v="16670869.281980701"/>
    <n v="14924635.705487199"/>
    <n v="135.798089004774"/>
    <n v="145.003168523521"/>
    <n v="129.814434373502"/>
    <n v="4923004.8999999501"/>
    <n v="5345512.2909000199"/>
    <n v="8168658"/>
    <n v="15835326"/>
    <n v="229108630.72723299"/>
    <n v="9551"/>
    <n v="6900"/>
    <n v="5584"/>
    <n v="4553"/>
    <n v="0"/>
  </r>
  <r>
    <x v="2"/>
    <n v="24866757"/>
    <n v="150190"/>
    <x v="1"/>
    <x v="4"/>
    <n v="25938446.784595799"/>
    <n v="25981154.1599379"/>
    <n v="27496918.7354999"/>
    <n v="24337267.4583496"/>
    <n v="172.988575537239"/>
    <n v="183.080889110459"/>
    <n v="162.04319500865299"/>
    <n v="7894028.7399998698"/>
    <n v="9112701.9636000097"/>
    <n v="13888914"/>
    <n v="23519433"/>
    <n v="373660679.87136501"/>
    <n v="9895"/>
    <n v="7315"/>
    <n v="5932"/>
    <n v="4836"/>
    <n v="0"/>
  </r>
  <r>
    <x v="2"/>
    <n v="24866757"/>
    <n v="150227"/>
    <x v="1"/>
    <x v="5"/>
    <n v="36483006.890437298"/>
    <n v="36655222.155405901"/>
    <n v="38782599.254391797"/>
    <n v="34011199.261514597"/>
    <n v="243.99889604003201"/>
    <n v="258.15997959349397"/>
    <n v="226.39871169306801"/>
    <n v="10737049.92"/>
    <n v="13231840.212699899"/>
    <n v="19550271"/>
    <n v="28538172"/>
    <n v="507516113.41965199"/>
    <n v="7728"/>
    <n v="5875"/>
    <n v="4858"/>
    <n v="4018"/>
    <n v="0"/>
  </r>
  <r>
    <x v="2"/>
    <n v="24866757"/>
    <n v="521608"/>
    <x v="1"/>
    <x v="6"/>
    <n v="19042987.881572701"/>
    <n v="17969454.5935224"/>
    <n v="19179897.3130983"/>
    <n v="19979611.7380981"/>
    <n v="34.450113099343703"/>
    <n v="36.770711555609502"/>
    <n v="38.303882873917097"/>
    <n v="6818997.6299991803"/>
    <n v="5078758.1400001403"/>
    <n v="10610700"/>
    <n v="30300711"/>
    <n v="281695252.30373502"/>
    <n v="138918"/>
    <n v="97671"/>
    <n v="76258"/>
    <n v="55208"/>
    <n v="0"/>
  </r>
  <r>
    <x v="2"/>
    <n v="24866757"/>
    <n v="106478"/>
    <x v="1"/>
    <x v="7"/>
    <n v="40417610.7888726"/>
    <n v="40854707.276033998"/>
    <n v="43120335.276677802"/>
    <n v="37277789.813906297"/>
    <n v="383.69153511555402"/>
    <n v="404.96943290330199"/>
    <n v="350.09851625599902"/>
    <n v="11512019.640000001"/>
    <n v="15522625.9099999"/>
    <n v="21824886"/>
    <n v="25162753"/>
    <n v="498597800.86681002"/>
    <n v="3853"/>
    <n v="2998"/>
    <n v="2480"/>
    <n v="2053"/>
    <n v="0"/>
  </r>
  <r>
    <x v="2"/>
    <n v="24866757"/>
    <n v="338584"/>
    <x v="1"/>
    <x v="8"/>
    <n v="20873168.145949598"/>
    <n v="20188958.254170701"/>
    <n v="21674144.976916298"/>
    <n v="20756401.206762299"/>
    <n v="59.627620484638101"/>
    <n v="64.0140850628393"/>
    <n v="61.303550099125502"/>
    <n v="7138535.6399995899"/>
    <n v="6397405.4009000901"/>
    <n v="10793498"/>
    <n v="27668959"/>
    <n v="310836519.36063403"/>
    <n v="57565"/>
    <n v="40219"/>
    <n v="31742"/>
    <n v="24315"/>
    <n v="0"/>
  </r>
  <r>
    <x v="2"/>
    <n v="24866757"/>
    <n v="228550"/>
    <x v="1"/>
    <x v="9"/>
    <n v="19823528.7824343"/>
    <n v="19385032.969103701"/>
    <n v="20837253.480347998"/>
    <n v="19248299.897851001"/>
    <n v="84.817470877723494"/>
    <n v="91.171531307582896"/>
    <n v="84.219207603811"/>
    <n v="6562354.2299997797"/>
    <n v="6387990.4118000604"/>
    <n v="10122142"/>
    <n v="23451465"/>
    <n v="290769002.124937"/>
    <n v="28487"/>
    <n v="20138"/>
    <n v="16089"/>
    <n v="12685"/>
    <n v="0"/>
  </r>
  <r>
    <x v="2"/>
    <n v="24866757"/>
    <n v="70335"/>
    <x v="1"/>
    <x v="10"/>
    <n v="57669260.151524"/>
    <n v="58668258.409171402"/>
    <n v="61801807.323815897"/>
    <n v="52537714.7215854"/>
    <n v="834.126088137789"/>
    <n v="878.677860578886"/>
    <n v="746.96402532999798"/>
    <n v="17086159.440000098"/>
    <n v="26057002.2717999"/>
    <n v="26615440"/>
    <n v="23725783"/>
    <n v="628408421.53329396"/>
    <n v="1504"/>
    <n v="1207"/>
    <n v="1017"/>
    <n v="872"/>
    <n v="0"/>
  </r>
  <r>
    <x v="2"/>
    <n v="24866757"/>
    <n v="21920"/>
    <x v="1"/>
    <x v="11"/>
    <n v="-82615.392538422399"/>
    <n v="-89960.707590333099"/>
    <n v="-91325.8663487554"/>
    <n v="-66559.603676178405"/>
    <n v="-4.1040468791210296"/>
    <n v="-4.1663260195600103"/>
    <n v="-3.0364782698986499"/>
    <n v="14678.8199999999"/>
    <n v="7165.41"/>
    <n v="38292"/>
    <n v="86030"/>
    <n v="1201030363.8560801"/>
    <n v="8466"/>
    <n v="7585"/>
    <n v="5428"/>
    <n v="3943"/>
    <n v="0"/>
  </r>
  <r>
    <x v="2"/>
    <n v="24866757"/>
    <n v="1474701"/>
    <x v="2"/>
    <x v="0"/>
    <n v="3943461.1031541498"/>
    <n v="2601345.67653151"/>
    <n v="3253457.03407933"/>
    <n v="5975580.5988568496"/>
    <n v="1.7639817675118601"/>
    <n v="2.2061808014501398"/>
    <n v="4.0520624851117901"/>
    <n v="1014396.4499999901"/>
    <n v="573982.60999998997"/>
    <n v="1560063"/>
    <n v="7100129"/>
    <n v="897121306.436481"/>
    <n v="1250835"/>
    <n v="1126330"/>
    <n v="911308"/>
    <n v="426647"/>
    <n v="0"/>
  </r>
  <r>
    <x v="2"/>
    <n v="24866757"/>
    <n v="602256"/>
    <x v="2"/>
    <x v="1"/>
    <n v="9855553.8010603692"/>
    <n v="7388413.3825955"/>
    <n v="8804309.9132121895"/>
    <n v="13373938.107376801"/>
    <n v="12.2678950190541"/>
    <n v="14.6188828558157"/>
    <n v="22.2064007787001"/>
    <n v="2950607.6699997298"/>
    <n v="1898464.8900000399"/>
    <n v="4618987"/>
    <n v="10424068"/>
    <n v="162546502.33805001"/>
    <n v="373862"/>
    <n v="313215"/>
    <n v="272592"/>
    <n v="163178"/>
    <n v="0"/>
  </r>
  <r>
    <x v="2"/>
    <n v="24866757"/>
    <n v="115686"/>
    <x v="2"/>
    <x v="2"/>
    <n v="12915270.4711673"/>
    <n v="11929302.480100101"/>
    <n v="13734548.636332801"/>
    <n v="13081960.297069"/>
    <n v="103.117944090902"/>
    <n v="118.722651283066"/>
    <n v="113.081620049695"/>
    <n v="4390774.6199999396"/>
    <n v="3821152.7109000199"/>
    <n v="7063285"/>
    <n v="10011082"/>
    <n v="219078804.57221401"/>
    <n v="24554"/>
    <n v="19981"/>
    <n v="17441"/>
    <n v="14126"/>
    <n v="0"/>
  </r>
  <r>
    <x v="2"/>
    <n v="24866757"/>
    <n v="79711"/>
    <x v="2"/>
    <x v="3"/>
    <n v="10899487.211206701"/>
    <n v="10211384.2292173"/>
    <n v="11640290.7763336"/>
    <n v="10846786.6280692"/>
    <n v="128.10508247566"/>
    <n v="146.03117231415601"/>
    <n v="136.07640887793599"/>
    <n v="3708517.81999997"/>
    <n v="3304121.6300000101"/>
    <n v="6047404"/>
    <n v="7835341"/>
    <n v="189716233.649093"/>
    <n v="15099"/>
    <n v="12462"/>
    <n v="10969"/>
    <n v="9019"/>
    <n v="0"/>
  </r>
  <r>
    <x v="2"/>
    <n v="24866757"/>
    <n v="97170"/>
    <x v="2"/>
    <x v="4"/>
    <n v="16751772.972780799"/>
    <n v="15910148.6595689"/>
    <n v="17931791.5153987"/>
    <n v="16413378.743375"/>
    <n v="163.735192544705"/>
    <n v="184.540408720785"/>
    <n v="168.91405519579101"/>
    <n v="5659846.9399999296"/>
    <n v="5224125.6709000198"/>
    <n v="9618840"/>
    <n v="11277943"/>
    <n v="288646082.39614397"/>
    <n v="16121"/>
    <n v="13364"/>
    <n v="11801"/>
    <n v="9728"/>
    <n v="0"/>
  </r>
  <r>
    <x v="2"/>
    <n v="24866757"/>
    <n v="86998"/>
    <x v="2"/>
    <x v="5"/>
    <n v="21038180.204773799"/>
    <n v="20445419.026972201"/>
    <n v="22579082.4652806"/>
    <n v="20090039.122068401"/>
    <n v="235.01021893574799"/>
    <n v="259.53564984575098"/>
    <n v="230.92529853638399"/>
    <n v="7136332.37999993"/>
    <n v="6985404.4218000202"/>
    <n v="12240452"/>
    <n v="12507931"/>
    <n v="354833671.693385"/>
    <n v="11571"/>
    <n v="9579"/>
    <n v="8526"/>
    <n v="7154"/>
    <n v="0"/>
  </r>
  <r>
    <x v="2"/>
    <n v="24866757"/>
    <n v="506995"/>
    <x v="2"/>
    <x v="6"/>
    <n v="18334328.285480902"/>
    <n v="15132281.8529278"/>
    <n v="18175787.295508198"/>
    <n v="21694915.708009198"/>
    <n v="29.8470041182415"/>
    <n v="35.850032634460398"/>
    <n v="42.7911827690791"/>
    <n v="5986921.0899992604"/>
    <n v="4346728.8100001505"/>
    <n v="8870306"/>
    <n v="17505308"/>
    <n v="298284019.53569698"/>
    <n v="221992"/>
    <n v="179222"/>
    <n v="154132"/>
    <n v="110348"/>
    <n v="0"/>
  </r>
  <r>
    <x v="2"/>
    <n v="24866757"/>
    <n v="53853"/>
    <x v="2"/>
    <x v="7"/>
    <n v="20312253.216574501"/>
    <n v="19989942.504409499"/>
    <n v="21941810.615918498"/>
    <n v="19005006.529395498"/>
    <n v="371.19459462628902"/>
    <n v="407.43896562714298"/>
    <n v="352.90525187817701"/>
    <n v="6825612.5099999802"/>
    <n v="7293541.0708999997"/>
    <n v="11580304"/>
    <n v="10260812"/>
    <n v="309665152.81689101"/>
    <n v="5680"/>
    <n v="4839"/>
    <n v="4329"/>
    <n v="3721"/>
    <n v="0"/>
  </r>
  <r>
    <x v="2"/>
    <n v="24866757"/>
    <n v="286587"/>
    <x v="2"/>
    <x v="8"/>
    <n v="17608638.493165899"/>
    <n v="15381084.8784205"/>
    <n v="18192295.7843064"/>
    <n v="19252534.8167721"/>
    <n v="53.669862479528099"/>
    <n v="63.479138217387501"/>
    <n v="67.178674597145502"/>
    <n v="5893172.2699996904"/>
    <n v="4754001.2200000603"/>
    <n v="8825708"/>
    <n v="15549738"/>
    <n v="293966336.88244599"/>
    <n v="90597"/>
    <n v="72871"/>
    <n v="63145"/>
    <n v="48502"/>
    <n v="0"/>
  </r>
  <r>
    <x v="2"/>
    <n v="24866757"/>
    <n v="176363"/>
    <x v="2"/>
    <x v="9"/>
    <n v="15269205.460808801"/>
    <n v="13791610.366048601"/>
    <n v="16063351.8598885"/>
    <n v="15952654.156489501"/>
    <n v="78.200134756432107"/>
    <n v="91.081189704691695"/>
    <n v="90.453520049497797"/>
    <n v="5182517.9899998698"/>
    <n v="4356700.5809000405"/>
    <n v="7969888"/>
    <n v="12571976"/>
    <n v="258279548.999731"/>
    <n v="44642"/>
    <n v="36145"/>
    <n v="31455"/>
    <n v="25025"/>
    <n v="0"/>
  </r>
  <r>
    <x v="2"/>
    <n v="24866757"/>
    <n v="28759"/>
    <x v="2"/>
    <x v="10"/>
    <n v="22847255.801305301"/>
    <n v="22714563.5263316"/>
    <n v="24515701.363670401"/>
    <n v="21311502.5139139"/>
    <n v="789.82452541227701"/>
    <n v="852.45319251957505"/>
    <n v="741.03767564636803"/>
    <n v="7951404.1799999597"/>
    <n v="9811075.3799999896"/>
    <n v="10950153"/>
    <n v="8997638"/>
    <n v="310906004.49943203"/>
    <n v="1986"/>
    <n v="1743"/>
    <n v="1544"/>
    <n v="1339"/>
    <n v="0"/>
  </r>
  <r>
    <x v="2"/>
    <n v="24866757"/>
    <n v="23910"/>
    <x v="2"/>
    <x v="11"/>
    <n v="-126922.292987045"/>
    <n v="-130868.778662336"/>
    <n v="-139770.58961757499"/>
    <n v="-110127.51068122601"/>
    <n v="-5.4733909938242098"/>
    <n v="-5.8456959271256901"/>
    <n v="-4.6059184726568896"/>
    <n v="14034.0899999999"/>
    <n v="6082.4"/>
    <n v="88085"/>
    <n v="159707"/>
    <n v="1106403104.79144"/>
    <n v="14063"/>
    <n v="13036"/>
    <n v="9402"/>
    <n v="5501"/>
    <n v="0"/>
  </r>
  <r>
    <x v="2"/>
    <n v="24866757"/>
    <n v="776301"/>
    <x v="3"/>
    <x v="0"/>
    <n v="2116631.07408662"/>
    <n v="1499969.6971082401"/>
    <n v="1800310.15898112"/>
    <n v="3049613.3661705698"/>
    <n v="1.93220116566672"/>
    <n v="2.3190877752071999"/>
    <n v="3.92839036169033"/>
    <n v="584924.15000001702"/>
    <n v="266377.73"/>
    <n v="937889"/>
    <n v="9023467"/>
    <n v="347770150.13928097"/>
    <n v="609179"/>
    <n v="527017"/>
    <n v="439677"/>
    <n v="232582"/>
    <n v="0"/>
  </r>
  <r>
    <x v="2"/>
    <n v="24866757"/>
    <n v="329398"/>
    <x v="3"/>
    <x v="1"/>
    <n v="5465384.6171129895"/>
    <n v="4439657.3471430698"/>
    <n v="4995142.2780536702"/>
    <n v="6961354.22614324"/>
    <n v="13.4780944242013"/>
    <n v="15.1644584303902"/>
    <n v="21.1335655533526"/>
    <n v="1727781.1699999301"/>
    <n v="1095932.9609000001"/>
    <n v="3094509"/>
    <n v="7804099"/>
    <n v="89298964.879193306"/>
    <n v="180957"/>
    <n v="143365"/>
    <n v="119545"/>
    <n v="77916"/>
    <n v="0"/>
  </r>
  <r>
    <x v="2"/>
    <n v="24866757"/>
    <n v="72117"/>
    <x v="3"/>
    <x v="2"/>
    <n v="8054053.70380776"/>
    <n v="7647108.7302174401"/>
    <n v="8466379.0617332496"/>
    <n v="8048673.3194725597"/>
    <n v="106.037532484954"/>
    <n v="117.397826611385"/>
    <n v="111.60577006077"/>
    <n v="2627015.6899999799"/>
    <n v="2471292.8609000002"/>
    <n v="4889822"/>
    <n v="7275672"/>
    <n v="132571685.205502"/>
    <n v="11717"/>
    <n v="9136"/>
    <n v="7747"/>
    <n v="6435"/>
    <n v="0"/>
  </r>
  <r>
    <x v="2"/>
    <n v="24866757"/>
    <n v="50018"/>
    <x v="3"/>
    <x v="3"/>
    <n v="6841698.7387829404"/>
    <n v="6555572.0938923201"/>
    <n v="7233587.8190790797"/>
    <n v="6735936.3033774197"/>
    <n v="131.06425874469801"/>
    <n v="144.61969329199599"/>
    <n v="134.67024477942701"/>
    <n v="2223711.8199999798"/>
    <n v="2137269.66"/>
    <n v="4377414"/>
    <n v="5849610"/>
    <n v="112662876.738213"/>
    <n v="7102"/>
    <n v="5592"/>
    <n v="4752"/>
    <n v="3953"/>
    <n v="0"/>
  </r>
  <r>
    <x v="2"/>
    <n v="24866757"/>
    <n v="61813"/>
    <x v="3"/>
    <x v="4"/>
    <n v="10663833.840314301"/>
    <n v="10362572.121921999"/>
    <n v="11317291.291962201"/>
    <n v="10311638.107058801"/>
    <n v="167.64389565175699"/>
    <n v="183.089176903924"/>
    <n v="166.81989398765401"/>
    <n v="3417696.8099999698"/>
    <n v="3455260.05"/>
    <n v="6912120"/>
    <n v="8277900"/>
    <n v="174021213.40667099"/>
    <n v="7432"/>
    <n v="5853"/>
    <n v="5006"/>
    <n v="4216"/>
    <n v="0"/>
  </r>
  <r>
    <x v="2"/>
    <n v="24866757"/>
    <n v="58043"/>
    <x v="3"/>
    <x v="5"/>
    <n v="14046853.480978901"/>
    <n v="13771290.746489801"/>
    <n v="14953977.434662901"/>
    <n v="13415292.261784101"/>
    <n v="237.26014758868101"/>
    <n v="257.63619100775202"/>
    <n v="231.126789824512"/>
    <n v="4421322.4099999797"/>
    <n v="4729919.1900000097"/>
    <n v="9149596"/>
    <n v="9570144"/>
    <n v="225957829.326031"/>
    <n v="5596"/>
    <n v="4471"/>
    <n v="3854"/>
    <n v="3291"/>
    <n v="0"/>
  </r>
  <r>
    <x v="2"/>
    <n v="24866757"/>
    <n v="300874"/>
    <x v="3"/>
    <x v="6"/>
    <n v="10913635.9237407"/>
    <n v="9536742.5875784904"/>
    <n v="10861988.905246601"/>
    <n v="12342176.2783977"/>
    <n v="31.6967986186194"/>
    <n v="36.101454114501998"/>
    <n v="41.021079516335"/>
    <n v="3609453.4599998798"/>
    <n v="2737157.23000004"/>
    <n v="5988458"/>
    <n v="12975093"/>
    <n v="171021108.20490399"/>
    <n v="112114"/>
    <n v="85589"/>
    <n v="71186"/>
    <n v="52647"/>
    <n v="0"/>
  </r>
  <r>
    <x v="2"/>
    <n v="24866757"/>
    <n v="37098"/>
    <x v="3"/>
    <x v="7"/>
    <n v="14029461.0617049"/>
    <n v="13879824.065098399"/>
    <n v="15032057.678784801"/>
    <n v="13176501.4412317"/>
    <n v="374.13941627846299"/>
    <n v="405.19860043087999"/>
    <n v="355.18091113353103"/>
    <n v="4356319.6099999798"/>
    <n v="5103992.3000000101"/>
    <n v="8860805"/>
    <n v="7969558"/>
    <n v="203938947.03373"/>
    <n v="2682"/>
    <n v="2191"/>
    <n v="1889"/>
    <n v="1623"/>
    <n v="0"/>
  </r>
  <r>
    <x v="2"/>
    <n v="24866757"/>
    <n v="175474"/>
    <x v="3"/>
    <x v="8"/>
    <n v="10789422.6808697"/>
    <n v="9852816.3307395391"/>
    <n v="11129220.7241612"/>
    <n v="11386230.9877086"/>
    <n v="56.149722071301397"/>
    <n v="63.423759213110003"/>
    <n v="64.888422146349896"/>
    <n v="3595122.1799999201"/>
    <n v="3047015.5500000301"/>
    <n v="6037704"/>
    <n v="11315366"/>
    <n v="174332034.094964"/>
    <n v="45040"/>
    <n v="34404"/>
    <n v="28902"/>
    <n v="22925"/>
    <n v="0"/>
  </r>
  <r>
    <x v="2"/>
    <n v="24866757"/>
    <n v="110102"/>
    <x v="3"/>
    <x v="9"/>
    <n v="9529549.1277955193"/>
    <n v="8918872.39912563"/>
    <n v="9969536.9853337798"/>
    <n v="9700237.9989270307"/>
    <n v="81.005543942213905"/>
    <n v="90.548191543602996"/>
    <n v="88.102286960518697"/>
    <n v="3126873.1199999698"/>
    <n v="2834357.3300000099"/>
    <n v="5559033"/>
    <n v="9170875"/>
    <n v="155863706.69513699"/>
    <n v="21932"/>
    <n v="16975"/>
    <n v="14417"/>
    <n v="11654"/>
    <n v="0"/>
  </r>
  <r>
    <x v="2"/>
    <n v="24866757"/>
    <n v="22050"/>
    <x v="3"/>
    <x v="10"/>
    <n v="17669317.505203702"/>
    <n v="17727730.670460802"/>
    <n v="19049130.631631799"/>
    <n v="16231091.213518601"/>
    <n v="803.97871521364095"/>
    <n v="863.90615109441501"/>
    <n v="736.10390991014197"/>
    <n v="5744495.2899999898"/>
    <n v="7778060.3899999997"/>
    <n v="9033511"/>
    <n v="7274513"/>
    <n v="231007417.55861801"/>
    <n v="1007"/>
    <n v="841"/>
    <n v="738"/>
    <n v="638"/>
    <n v="0"/>
  </r>
  <r>
    <x v="2"/>
    <n v="24866757"/>
    <n v="15434"/>
    <x v="3"/>
    <x v="11"/>
    <n v="-158578.03064212101"/>
    <n v="-145482.21864091899"/>
    <n v="-170475.07516399099"/>
    <n v="-159776.79812145501"/>
    <n v="-9.4260864740779393"/>
    <n v="-11.0454240743806"/>
    <n v="-10.3522611197003"/>
    <n v="10834.54"/>
    <n v="3542.76"/>
    <n v="1018193"/>
    <n v="941295"/>
    <n v="393794162.78824103"/>
    <n v="6845"/>
    <n v="5903"/>
    <n v="4223"/>
    <n v="2616"/>
    <n v="0"/>
  </r>
  <r>
    <x v="2"/>
    <n v="24866757"/>
    <n v="505600"/>
    <x v="4"/>
    <x v="0"/>
    <n v="1391957.12273724"/>
    <n v="1005470.83475607"/>
    <n v="1288748.18509614"/>
    <n v="1881652.34835927"/>
    <n v="1.9886685814004601"/>
    <n v="2.5489481509021799"/>
    <n v="3.7216225244447698"/>
    <n v="368905.37000000698"/>
    <n v="178655.49"/>
    <n v="625427"/>
    <n v="4445545"/>
    <n v="385557486.28461802"/>
    <n v="380708"/>
    <n v="324788"/>
    <n v="268522"/>
    <n v="145920"/>
    <n v="0"/>
  </r>
  <r>
    <x v="2"/>
    <n v="24866757"/>
    <n v="215694"/>
    <x v="4"/>
    <x v="1"/>
    <n v="3593115.96858169"/>
    <n v="3054632.7177965399"/>
    <n v="3357707.7789798598"/>
    <n v="4367007.4089689199"/>
    <n v="14.161880802417"/>
    <n v="15.5669966664806"/>
    <n v="20.246309164691301"/>
    <n v="1130829.1199999901"/>
    <n v="759590.08999999706"/>
    <n v="2207689"/>
    <n v="5720445"/>
    <n v="65901451.369514398"/>
    <n v="109941"/>
    <n v="84406"/>
    <n v="68619"/>
    <n v="45002"/>
    <n v="0"/>
  </r>
  <r>
    <x v="2"/>
    <n v="24866757"/>
    <n v="53111"/>
    <x v="4"/>
    <x v="2"/>
    <n v="5927092.1261371896"/>
    <n v="5789942.93461983"/>
    <n v="6308857.8156747902"/>
    <n v="5682475.6281169299"/>
    <n v="109.015890015624"/>
    <n v="118.786274324994"/>
    <n v="106.992442773002"/>
    <n v="1842914.0799999901"/>
    <n v="1818546.56"/>
    <n v="3779357"/>
    <n v="5598508"/>
    <n v="112201347.526362"/>
    <n v="6929"/>
    <n v="5223"/>
    <n v="4312"/>
    <n v="3547"/>
    <n v="0"/>
  </r>
  <r>
    <x v="2"/>
    <n v="24866757"/>
    <n v="37136"/>
    <x v="4"/>
    <x v="3"/>
    <n v="5078736.1169727398"/>
    <n v="4998100.4433209598"/>
    <n v="5399024.2542254496"/>
    <n v="4839083.65337181"/>
    <n v="134.58908992139601"/>
    <n v="145.38518564803499"/>
    <n v="130.30707812828001"/>
    <n v="1546329.77999999"/>
    <n v="1588614.99"/>
    <n v="3363355"/>
    <n v="4513376"/>
    <n v="96335154.079342797"/>
    <n v="4255"/>
    <n v="3223"/>
    <n v="2689"/>
    <n v="2200"/>
    <n v="0"/>
  </r>
  <r>
    <x v="2"/>
    <n v="24866757"/>
    <n v="46348"/>
    <x v="4"/>
    <x v="4"/>
    <n v="7992734.5402789898"/>
    <n v="7945971.8414415196"/>
    <n v="8540024.0018237699"/>
    <n v="7492207.7775716903"/>
    <n v="171.441525879035"/>
    <n v="184.258738280481"/>
    <n v="161.651155984545"/>
    <n v="2370936.5699999798"/>
    <n v="2592412.5408999999"/>
    <n v="5333682"/>
    <n v="6463268"/>
    <n v="151721737.064924"/>
    <n v="4350"/>
    <n v="3353"/>
    <n v="2808"/>
    <n v="2371"/>
    <n v="0"/>
  </r>
  <r>
    <x v="2"/>
    <n v="24866757"/>
    <n v="43442"/>
    <x v="4"/>
    <x v="5"/>
    <n v="10519112.3428507"/>
    <n v="10590335.897586299"/>
    <n v="11250508.572486499"/>
    <n v="9716492.5584794208"/>
    <n v="243.78103903103701"/>
    <n v="258.97768455610998"/>
    <n v="223.665866177418"/>
    <n v="3046912.1999999899"/>
    <n v="3542645.13"/>
    <n v="7217132"/>
    <n v="7530008"/>
    <n v="196045315.717399"/>
    <n v="3166"/>
    <n v="2485"/>
    <n v="2106"/>
    <n v="1802"/>
    <n v="0"/>
  </r>
  <r>
    <x v="2"/>
    <n v="24866757"/>
    <n v="205879"/>
    <x v="4"/>
    <x v="6"/>
    <n v="7495247.5800400302"/>
    <n v="6820902.9887153096"/>
    <n v="7552349.2453249497"/>
    <n v="8112490.5060800901"/>
    <n v="33.1306397870366"/>
    <n v="36.6834366075459"/>
    <n v="39.404167040252197"/>
    <n v="2444762.0599999302"/>
    <n v="1961472.0600000101"/>
    <n v="4327859"/>
    <n v="9562370"/>
    <n v="131118232.931962"/>
    <n v="67452"/>
    <n v="49752"/>
    <n v="40230"/>
    <n v="29912"/>
    <n v="0"/>
  </r>
  <r>
    <x v="2"/>
    <n v="24866757"/>
    <n v="28035"/>
    <x v="4"/>
    <x v="7"/>
    <n v="10594990.0044789"/>
    <n v="10657513.3592637"/>
    <n v="11377986.629368899"/>
    <n v="9749470.0248041395"/>
    <n v="380.15028925499399"/>
    <n v="405.84935364255301"/>
    <n v="347.76065720720999"/>
    <n v="2974079.4799999902"/>
    <n v="3837326.48"/>
    <n v="6972710"/>
    <n v="6133738"/>
    <n v="170881641.943158"/>
    <n v="1547"/>
    <n v="1231"/>
    <n v="1067"/>
    <n v="916"/>
    <n v="0"/>
  </r>
  <r>
    <x v="2"/>
    <n v="24866757"/>
    <n v="124231"/>
    <x v="4"/>
    <x v="8"/>
    <n v="7645402.3827603897"/>
    <n v="7235538.9725254597"/>
    <n v="7969044.0108541502"/>
    <n v="7731624.16490163"/>
    <n v="58.242620380786299"/>
    <n v="64.146984334458807"/>
    <n v="62.235868381495997"/>
    <n v="2451963.5499999602"/>
    <n v="2224349.45000001"/>
    <n v="4437114"/>
    <n v="8511738"/>
    <n v="140480233.23933899"/>
    <n v="26912"/>
    <n v="19918"/>
    <n v="16279"/>
    <n v="12767"/>
    <n v="0"/>
  </r>
  <r>
    <x v="2"/>
    <n v="24866757"/>
    <n v="78891"/>
    <x v="4"/>
    <x v="9"/>
    <n v="6834434.7466685995"/>
    <n v="6617231.4198145196"/>
    <n v="7225950.0686772401"/>
    <n v="6660122.7515141498"/>
    <n v="83.878153652692006"/>
    <n v="91.5940990566382"/>
    <n v="84.421832040589507"/>
    <n v="2149127.9199999799"/>
    <n v="2089579.8008999999"/>
    <n v="4227799"/>
    <n v="7013218"/>
    <n v="128289511.39328299"/>
    <n v="12996"/>
    <n v="9677"/>
    <n v="7937"/>
    <n v="6429"/>
    <n v="0"/>
  </r>
  <r>
    <x v="2"/>
    <n v="24866757"/>
    <n v="16214"/>
    <x v="4"/>
    <x v="10"/>
    <n v="13139682.1865026"/>
    <n v="13311795.1690135"/>
    <n v="14138444.2535745"/>
    <n v="11968807.1369198"/>
    <n v="821.00623960857899"/>
    <n v="871.98990092355803"/>
    <n v="738.17732434438199"/>
    <n v="3808029.5399999898"/>
    <n v="5979669.3300000001"/>
    <n v="6547870"/>
    <n v="5061095"/>
    <n v="175588167.743554"/>
    <n v="585"/>
    <n v="486"/>
    <n v="426"/>
    <n v="383"/>
    <n v="0"/>
  </r>
  <r>
    <x v="2"/>
    <n v="24866757"/>
    <n v="10683"/>
    <x v="4"/>
    <x v="11"/>
    <n v="-113873.59348068399"/>
    <n v="-105036.317858222"/>
    <n v="-115620.15137681599"/>
    <n v="-120964.311207013"/>
    <n v="-9.8320993970067292"/>
    <n v="-10.822816753422799"/>
    <n v="-11.3230657312565"/>
    <n v="6845.26"/>
    <n v="4046.65"/>
    <n v="629286"/>
    <n v="104347"/>
    <n v="451666035.04435599"/>
    <n v="4480"/>
    <n v="3883"/>
    <n v="2983"/>
    <n v="1988"/>
    <n v="0"/>
  </r>
  <r>
    <x v="2"/>
    <n v="24866757"/>
    <n v="1499864"/>
    <x v="5"/>
    <x v="0"/>
    <n v="5033929.74935045"/>
    <n v="4773884.5371990204"/>
    <n v="4743042.4740859298"/>
    <n v="5584862.2367690802"/>
    <n v="3.18287827242938"/>
    <n v="3.1623150326202398"/>
    <n v="3.7235790956840602"/>
    <n v="1876824.70049995"/>
    <n v="400641.819599993"/>
    <n v="2389486"/>
    <n v="40768905"/>
    <n v="128758661.83128799"/>
    <n v="826447"/>
    <n v="611138"/>
    <n v="458496"/>
    <n v="253898"/>
    <n v="0"/>
  </r>
  <r>
    <x v="2"/>
    <n v="24866757"/>
    <n v="1010727"/>
    <x v="5"/>
    <x v="1"/>
    <n v="17288918.189058699"/>
    <n v="17234062.763659999"/>
    <n v="16733730.152381601"/>
    <n v="17898961.651135098"/>
    <n v="17.051155023720501"/>
    <n v="16.5561325188519"/>
    <n v="17.708997237765601"/>
    <n v="8805089.8841992095"/>
    <n v="2223518.1331000701"/>
    <n v="12888258"/>
    <n v="62792367"/>
    <n v="175336309.27657601"/>
    <n v="246341"/>
    <n v="147961"/>
    <n v="103544"/>
    <n v="62426"/>
    <n v="0"/>
  </r>
  <r>
    <x v="2"/>
    <n v="24866757"/>
    <n v="561453"/>
    <x v="5"/>
    <x v="2"/>
    <n v="62870984.786937997"/>
    <n v="64265120.719464898"/>
    <n v="65525995.344674103"/>
    <n v="58821838.296674803"/>
    <n v="114.46215572713101"/>
    <n v="116.707890677713"/>
    <n v="104.767163585687"/>
    <n v="28873993.460100099"/>
    <n v="16162885.1770996"/>
    <n v="46255364"/>
    <n v="96636207"/>
    <n v="572223481.85900295"/>
    <n v="20772"/>
    <n v="12850"/>
    <n v="9333"/>
    <n v="6887"/>
    <n v="0"/>
  </r>
  <r>
    <x v="2"/>
    <n v="24866757"/>
    <n v="444861"/>
    <x v="5"/>
    <x v="3"/>
    <n v="60956688.907448597"/>
    <n v="62457754.332198903"/>
    <n v="63727077.2211871"/>
    <n v="56685235.1689611"/>
    <n v="140.39835888558201"/>
    <n v="143.25166112827799"/>
    <n v="127.42235253025299"/>
    <n v="27148365.7561001"/>
    <n v="16486506.350399701"/>
    <n v="45167455"/>
    <n v="84899243"/>
    <n v="565662604.39247298"/>
    <n v="13231"/>
    <n v="8349"/>
    <n v="6160"/>
    <n v="4620"/>
    <n v="0"/>
  </r>
  <r>
    <x v="2"/>
    <n v="24866757"/>
    <n v="652591"/>
    <x v="5"/>
    <x v="4"/>
    <n v="113129118.436713"/>
    <n v="116281149.188288"/>
    <n v="118528866.186222"/>
    <n v="104577339.935626"/>
    <n v="178.18380760428599"/>
    <n v="181.62810425859701"/>
    <n v="160.249436378415"/>
    <n v="48666773.8469005"/>
    <n v="32462493.7752994"/>
    <n v="84735327"/>
    <n v="140963936"/>
    <n v="1074249436.7662699"/>
    <n v="14868"/>
    <n v="9589"/>
    <n v="7147"/>
    <n v="5431"/>
    <n v="0"/>
  </r>
  <r>
    <x v="2"/>
    <n v="24866757"/>
    <n v="770067"/>
    <x v="5"/>
    <x v="5"/>
    <n v="188222463.974875"/>
    <n v="193615124.662606"/>
    <n v="197808934.33887699"/>
    <n v="173243332.923143"/>
    <n v="251.426336490989"/>
    <n v="256.87236868853898"/>
    <n v="224.971765993274"/>
    <n v="76565938.550600201"/>
    <n v="58560105.074698903"/>
    <n v="141783849"/>
    <n v="198333599"/>
    <n v="1812515941.7223401"/>
    <n v="12193"/>
    <n v="8205"/>
    <n v="6144"/>
    <n v="4727"/>
    <n v="0"/>
  </r>
  <r>
    <x v="2"/>
    <n v="24866757"/>
    <n v="1252140"/>
    <x v="5"/>
    <x v="6"/>
    <n v="46138614.801761098"/>
    <n v="46546923.177303202"/>
    <n v="46504941.829236098"/>
    <n v="45363979.398745902"/>
    <n v="37.173896830468799"/>
    <n v="37.1403691514017"/>
    <n v="36.229159198448997"/>
    <n v="24173521.527501199"/>
    <n v="7813572.5817001304"/>
    <n v="35155576"/>
    <n v="117206127"/>
    <n v="395209939.78778702"/>
    <n v="158807"/>
    <n v="91868"/>
    <n v="64768"/>
    <n v="43086"/>
    <n v="0"/>
  </r>
  <r>
    <x v="2"/>
    <n v="24866757"/>
    <n v="653899"/>
    <x v="5"/>
    <x v="7"/>
    <n v="250213114.795131"/>
    <n v="257599331.21649599"/>
    <n v="263900295.854911"/>
    <n v="229139717.31398499"/>
    <n v="393.943607830102"/>
    <n v="403.57959846231699"/>
    <n v="350.42065718709699"/>
    <n v="94084857.069699898"/>
    <n v="87785909.348499998"/>
    <n v="180820112"/>
    <n v="211946010"/>
    <n v="2329738878.71134"/>
    <n v="6420"/>
    <n v="4369"/>
    <n v="3269"/>
    <n v="2558"/>
    <n v="0"/>
  </r>
  <r>
    <x v="2"/>
    <n v="24866757"/>
    <n v="937950"/>
    <x v="5"/>
    <x v="8"/>
    <n v="58103114.286528997"/>
    <n v="58919605.267962098"/>
    <n v="59802147.344124898"/>
    <n v="55587590.2474989"/>
    <n v="62.8174265877308"/>
    <n v="63.7583531575509"/>
    <n v="59.264982405777403"/>
    <n v="29021453.093200501"/>
    <n v="12349064.0487996"/>
    <n v="43008618"/>
    <n v="116447284"/>
    <n v="506367772.35464698"/>
    <n v="67983"/>
    <n v="40088"/>
    <n v="28732"/>
    <n v="20435"/>
    <n v="0"/>
  </r>
  <r>
    <x v="2"/>
    <n v="24866757"/>
    <n v="718847"/>
    <x v="5"/>
    <x v="9"/>
    <n v="62526847.227224998"/>
    <n v="63743564.002788298"/>
    <n v="64879461.678021297"/>
    <n v="58957516.000864998"/>
    <n v="88.674730509814097"/>
    <n v="90.254896630327806"/>
    <n v="82.016779649723802"/>
    <n v="29808588.655600298"/>
    <n v="15010306.6838996"/>
    <n v="45622040"/>
    <n v="107183056"/>
    <n v="558441254.83250797"/>
    <n v="35844"/>
    <n v="21634"/>
    <n v="15640"/>
    <n v="11413"/>
    <n v="0"/>
  </r>
  <r>
    <x v="2"/>
    <n v="24866757"/>
    <n v="502897"/>
    <x v="5"/>
    <x v="10"/>
    <n v="417248334.28477103"/>
    <n v="430345340.557311"/>
    <n v="443096285.59273499"/>
    <n v="378303376.70425701"/>
    <n v="855.73256662360598"/>
    <n v="881.08754992122795"/>
    <n v="752.24822718023302"/>
    <n v="148896054.0686"/>
    <n v="183677686.36489999"/>
    <n v="244165330"/>
    <n v="233982647"/>
    <n v="3786187501.5596199"/>
    <n v="2590"/>
    <n v="1806"/>
    <n v="1397"/>
    <n v="1141"/>
    <n v="0"/>
  </r>
  <r>
    <x v="2"/>
    <n v="24866757"/>
    <n v="17573"/>
    <x v="5"/>
    <x v="11"/>
    <n v="-259048.45979647801"/>
    <n v="-274650.24512012902"/>
    <n v="-289088.77546673198"/>
    <n v="-213406.358802573"/>
    <n v="-15.6291040300534"/>
    <n v="-16.4507355298886"/>
    <n v="-12.143991282226899"/>
    <n v="86366.560100000002"/>
    <n v="19531.990300000001"/>
    <n v="152765"/>
    <n v="414447"/>
    <n v="3010322.1330728498"/>
    <n v="9496"/>
    <n v="8211"/>
    <n v="6100"/>
    <n v="431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n v="24998823"/>
    <n v="3305509"/>
    <x v="0"/>
    <x v="0"/>
    <n v="7722060.5754617499"/>
    <n v="13288873.143876299"/>
    <n v="6501996.0146623002"/>
    <n v="3375312.5678735599"/>
    <n v="4.0202199249423796"/>
    <n v="1.9670180945392299"/>
    <n v="1.02111734316063"/>
    <n v="7029842.73999428"/>
    <n v="3357101.60000091"/>
    <n v="8381050"/>
    <n v="16598795"/>
    <n v="1024369032.5074"/>
    <n v="2374613"/>
    <n v="2164288"/>
    <n v="2003728"/>
    <n v="1419706"/>
    <n v="770951"/>
    <x v="0"/>
  </r>
  <r>
    <x v="0"/>
    <n v="24998823"/>
    <n v="1183742"/>
    <x v="0"/>
    <x v="1"/>
    <n v="17434475.8258694"/>
    <n v="29233559.4290605"/>
    <n v="15194447.564633001"/>
    <n v="7875420.4839303698"/>
    <n v="24.695887641952801"/>
    <n v="12.835945302804999"/>
    <n v="6.6529872927803302"/>
    <n v="12017721.530002501"/>
    <n v="8628754.2309002895"/>
    <n v="16673168"/>
    <n v="20410798"/>
    <n v="680126355.448138"/>
    <n v="640519"/>
    <n v="584395"/>
    <n v="549121"/>
    <n v="404751"/>
    <n v="223102"/>
    <x v="0"/>
  </r>
  <r>
    <x v="0"/>
    <n v="24998823"/>
    <n v="64610"/>
    <x v="0"/>
    <x v="2"/>
    <n v="7197556.7864774298"/>
    <n v="11626685.0240834"/>
    <n v="7296940.23619112"/>
    <n v="2669045.0991578801"/>
    <n v="179.951788021721"/>
    <n v="112.938248509381"/>
    <n v="41.310092851847699"/>
    <n v="4573523.6599999601"/>
    <n v="4066469.8500000201"/>
    <n v="7071441"/>
    <n v="6097574"/>
    <n v="197036602.45180801"/>
    <n v="10753"/>
    <n v="9404"/>
    <n v="8563"/>
    <n v="7329"/>
    <n v="4424"/>
    <x v="1"/>
  </r>
  <r>
    <x v="0"/>
    <n v="24998823"/>
    <n v="40777"/>
    <x v="0"/>
    <x v="3"/>
    <n v="5570106.5072485702"/>
    <n v="8886996.9221996292"/>
    <n v="5704191.1895327903"/>
    <n v="2119131.41001336"/>
    <n v="217.94141114352701"/>
    <n v="139.887465716771"/>
    <n v="51.9687914759145"/>
    <n v="3421065.5499999798"/>
    <n v="3235683.45"/>
    <n v="5254319"/>
    <n v="4330380"/>
    <n v="147590106.97904301"/>
    <n v="6313"/>
    <n v="5561"/>
    <n v="5070"/>
    <n v="4328"/>
    <n v="2598"/>
    <x v="2"/>
  </r>
  <r>
    <x v="0"/>
    <n v="24998823"/>
    <n v="45011"/>
    <x v="0"/>
    <x v="4"/>
    <n v="7729045.2400107998"/>
    <n v="12197508.4418154"/>
    <n v="8020110.9448688803"/>
    <n v="2969516.3333480801"/>
    <n v="270.98950127336599"/>
    <n v="178.18113227586301"/>
    <n v="65.9731250882692"/>
    <n v="4550425.4899999704"/>
    <n v="4656805.7300000004"/>
    <n v="6849945"/>
    <n v="5403248"/>
    <n v="203477860.18056199"/>
    <n v="6282"/>
    <n v="5566"/>
    <n v="5046"/>
    <n v="4331"/>
    <n v="2619"/>
    <x v="2"/>
  </r>
  <r>
    <x v="0"/>
    <n v="24998823"/>
    <n v="35053"/>
    <x v="0"/>
    <x v="5"/>
    <n v="8433758.4341769498"/>
    <n v="13039557.389473399"/>
    <n v="8867437.9917838201"/>
    <n v="3394279.9212736702"/>
    <n v="371.995475122627"/>
    <n v="252.97229885555601"/>
    <n v="96.832793805770507"/>
    <n v="4832081.2099999804"/>
    <n v="5290285.9109000098"/>
    <n v="6884552"/>
    <n v="5222454"/>
    <n v="205356855.011814"/>
    <n v="4227"/>
    <n v="3797"/>
    <n v="3448"/>
    <n v="3029"/>
    <n v="1809"/>
    <x v="2"/>
  </r>
  <r>
    <x v="0"/>
    <n v="24998823"/>
    <n v="543336"/>
    <x v="0"/>
    <x v="6"/>
    <n v="19228946.6538167"/>
    <n v="33903011.168003596"/>
    <n v="17306437.094691001"/>
    <n v="6477391.6987587102"/>
    <n v="62.397873816576897"/>
    <n v="31.852181881360799"/>
    <n v="11.9215213031323"/>
    <n v="14696575.210002"/>
    <n v="10910009.291799599"/>
    <n v="20683127"/>
    <n v="23311441"/>
    <n v="625877088.954144"/>
    <n v="156754"/>
    <n v="132691"/>
    <n v="118857"/>
    <n v="96080"/>
    <n v="55805"/>
    <x v="1"/>
  </r>
  <r>
    <x v="0"/>
    <n v="24998823"/>
    <n v="18661"/>
    <x v="0"/>
    <x v="7"/>
    <n v="6979374.3546250798"/>
    <n v="10486324.328720501"/>
    <n v="7506629.5271810899"/>
    <n v="2945169.20797366"/>
    <n v="561.93796306310196"/>
    <n v="402.262983075992"/>
    <n v="157.82483296573901"/>
    <n v="3753827.06"/>
    <n v="4707854.46"/>
    <n v="4939253"/>
    <n v="3814994"/>
    <n v="150898980.45719799"/>
    <n v="1794"/>
    <n v="1632"/>
    <n v="1500"/>
    <n v="1322"/>
    <n v="852"/>
    <x v="3"/>
  </r>
  <r>
    <x v="0"/>
    <n v="24998823"/>
    <n v="226778"/>
    <x v="0"/>
    <x v="8"/>
    <n v="13820003.234820999"/>
    <n v="23473532.925982099"/>
    <n v="13189992.250890899"/>
    <n v="4796484.5275907395"/>
    <n v="103.508862967228"/>
    <n v="58.162574195428803"/>
    <n v="21.1505724875902"/>
    <n v="9645476.0099998899"/>
    <n v="7829878.3918000897"/>
    <n v="14357180"/>
    <n v="14373727"/>
    <n v="415580481.01681602"/>
    <n v="50487"/>
    <n v="43431"/>
    <n v="39153"/>
    <n v="32589"/>
    <n v="19232"/>
    <x v="1"/>
  </r>
  <r>
    <x v="0"/>
    <n v="24998823"/>
    <n v="114773"/>
    <x v="0"/>
    <x v="9"/>
    <n v="9894306.5251614992"/>
    <n v="16286878.868586101"/>
    <n v="9794714.9132440109"/>
    <n v="3601325.79365467"/>
    <n v="141.905142050709"/>
    <n v="85.339887545363595"/>
    <n v="31.377813541988701"/>
    <n v="6541965.7099998696"/>
    <n v="5614148.5300000403"/>
    <n v="9879655"/>
    <n v="9017273"/>
    <n v="275030474.12438297"/>
    <n v="21683"/>
    <n v="18773"/>
    <n v="16936"/>
    <n v="14160"/>
    <n v="8462"/>
    <x v="1"/>
  </r>
  <r>
    <x v="0"/>
    <n v="24998823"/>
    <n v="7987"/>
    <x v="0"/>
    <x v="10"/>
    <n v="6387649.0510584395"/>
    <n v="9048940.1384566091"/>
    <n v="7042143.3391482998"/>
    <n v="3071863.67557044"/>
    <n v="1132.9585749914299"/>
    <n v="881.70068100016204"/>
    <n v="384.60794736076701"/>
    <n v="2846476.77999999"/>
    <n v="4715441.87"/>
    <n v="3099015"/>
    <n v="2351614"/>
    <n v="122423838.77688199"/>
    <n v="669"/>
    <n v="609"/>
    <n v="539"/>
    <n v="451"/>
    <n v="274"/>
    <x v="3"/>
  </r>
  <r>
    <x v="0"/>
    <n v="24998823"/>
    <n v="114225"/>
    <x v="0"/>
    <x v="11"/>
    <n v="-125005.781891647"/>
    <n v="-182304.31944256401"/>
    <n v="-102566.013604497"/>
    <n v="-90147.012627881501"/>
    <n v="-1.5960106757939501"/>
    <n v="-0.89792964416281595"/>
    <n v="-0.789205625982766"/>
    <n v="46717.539999999797"/>
    <n v="10047.290000000001"/>
    <n v="215141"/>
    <n v="149968"/>
    <n v="889549782.10987496"/>
    <n v="43905"/>
    <n v="40752"/>
    <n v="38103"/>
    <n v="28696"/>
    <n v="19674"/>
    <x v="0"/>
  </r>
  <r>
    <x v="0"/>
    <n v="24998823"/>
    <n v="1031232"/>
    <x v="1"/>
    <x v="0"/>
    <n v="3025596.6037946101"/>
    <n v="2414604.73093731"/>
    <n v="2586198.33256413"/>
    <n v="4075986.74788384"/>
    <n v="2.3414757600009599"/>
    <n v="2.5078724598966402"/>
    <n v="3.9525409877543001"/>
    <n v="907190.17000001704"/>
    <n v="448347.16999999102"/>
    <n v="1677106"/>
    <n v="14229956"/>
    <n v="501274878.24608302"/>
    <n v="690064"/>
    <n v="576172"/>
    <n v="476119"/>
    <n v="264814"/>
    <n v="137098"/>
    <x v="0"/>
  </r>
  <r>
    <x v="0"/>
    <n v="24998823"/>
    <n v="525589"/>
    <x v="1"/>
    <x v="1"/>
    <n v="8828997.6092667207"/>
    <n v="7862243.4520495199"/>
    <n v="7995789.3541188501"/>
    <n v="10628960.0216332"/>
    <n v="14.9589193305977"/>
    <n v="15.2130074147648"/>
    <n v="20.222949912637599"/>
    <n v="3054607.6299998001"/>
    <n v="2101131.3009000798"/>
    <n v="5788184"/>
    <n v="18751927"/>
    <n v="144050704.531746"/>
    <n v="204713"/>
    <n v="156278"/>
    <n v="127014"/>
    <n v="81335"/>
    <n v="39827"/>
    <x v="0"/>
  </r>
  <r>
    <x v="0"/>
    <n v="24998823"/>
    <n v="147765"/>
    <x v="1"/>
    <x v="2"/>
    <n v="16516154.9300771"/>
    <n v="16396513.7332005"/>
    <n v="16459566.158425201"/>
    <n v="16692384.8986056"/>
    <n v="110.963446913684"/>
    <n v="111.390154356073"/>
    <n v="112.9657557514"/>
    <n v="5127447.4799999204"/>
    <n v="6217551.1109000398"/>
    <n v="8599250"/>
    <n v="17521192"/>
    <n v="204674477.79559299"/>
    <n v="12681"/>
    <n v="9620"/>
    <n v="7900"/>
    <n v="6127"/>
    <n v="3305"/>
    <x v="1"/>
  </r>
  <r>
    <x v="0"/>
    <n v="24998823"/>
    <n v="105900"/>
    <x v="1"/>
    <x v="3"/>
    <n v="14488263.8691018"/>
    <n v="14457115.984259199"/>
    <n v="14500540.596999601"/>
    <n v="14507135.026046701"/>
    <n v="136.51667596089899"/>
    <n v="136.92672896128099"/>
    <n v="136.988999301669"/>
    <n v="4418665.7999999505"/>
    <n v="5555397.7509000199"/>
    <n v="7648161"/>
    <n v="14070521"/>
    <n v="177189225.84945399"/>
    <n v="7578"/>
    <n v="5905"/>
    <n v="4853"/>
    <n v="3850"/>
    <n v="2120"/>
    <x v="2"/>
  </r>
  <r>
    <x v="0"/>
    <n v="24998823"/>
    <n v="136800"/>
    <x v="1"/>
    <x v="4"/>
    <n v="23625305.762217801"/>
    <n v="23702776.630633801"/>
    <n v="23660263.5404393"/>
    <n v="23512877.115580302"/>
    <n v="173.265911042645"/>
    <n v="172.95514283946801"/>
    <n v="171.87775669283801"/>
    <n v="6946743.1699999198"/>
    <n v="9348952.5108999908"/>
    <n v="12532353"/>
    <n v="20675457"/>
    <n v="287599513.32980502"/>
    <n v="8099"/>
    <n v="6281"/>
    <n v="5151"/>
    <n v="3991"/>
    <n v="2275"/>
    <x v="2"/>
  </r>
  <r>
    <x v="0"/>
    <n v="24998823"/>
    <n v="136033"/>
    <x v="1"/>
    <x v="5"/>
    <n v="33024147.570412401"/>
    <n v="33259141.3208584"/>
    <n v="33118220.444815502"/>
    <n v="32695080.9455637"/>
    <n v="244.49318416015501"/>
    <n v="243.45725261381801"/>
    <n v="240.346687535846"/>
    <n v="9419073.5100000091"/>
    <n v="13482246.5717999"/>
    <n v="17708864"/>
    <n v="24241001"/>
    <n v="386900877.56818002"/>
    <n v="6007"/>
    <n v="4697"/>
    <n v="3905"/>
    <n v="3146"/>
    <n v="1691"/>
    <x v="2"/>
  </r>
  <r>
    <x v="0"/>
    <n v="24998823"/>
    <n v="523516"/>
    <x v="1"/>
    <x v="6"/>
    <n v="19055532.756257799"/>
    <n v="17936604.9523068"/>
    <n v="18234137.4784819"/>
    <n v="20995855.837986"/>
    <n v="34.2618085260181"/>
    <n v="34.830143641229597"/>
    <n v="40.105471156537803"/>
    <n v="6616588.7999993302"/>
    <n v="5679406.0300001502"/>
    <n v="11219160"/>
    <n v="30459480"/>
    <n v="263600671.99525601"/>
    <n v="123899"/>
    <n v="92724"/>
    <n v="75341"/>
    <n v="53326"/>
    <n v="26101"/>
    <x v="1"/>
  </r>
  <r>
    <x v="0"/>
    <n v="24998823"/>
    <n v="95244"/>
    <x v="1"/>
    <x v="7"/>
    <n v="36173549.412644401"/>
    <n v="36696087.453901"/>
    <n v="36135894.981107503"/>
    <n v="35688665.8029247"/>
    <n v="385.28503059406398"/>
    <n v="379.403374292423"/>
    <n v="374.70775904964898"/>
    <n v="10081712.609999999"/>
    <n v="15599206.6126999"/>
    <n v="19149529"/>
    <n v="21007946"/>
    <n v="393648921.68808103"/>
    <n v="2897"/>
    <n v="2348"/>
    <n v="1955"/>
    <n v="1628"/>
    <n v="979"/>
    <x v="3"/>
  </r>
  <r>
    <x v="0"/>
    <n v="24998823"/>
    <n v="325910"/>
    <x v="1"/>
    <x v="8"/>
    <n v="20071305.461046699"/>
    <n v="19471685.289147299"/>
    <n v="19685013.941256799"/>
    <n v="21057217.1527366"/>
    <n v="59.745590160312197"/>
    <n v="60.400153236343698"/>
    <n v="64.610527914874197"/>
    <n v="6687057.23999965"/>
    <n v="6885182.0909000998"/>
    <n v="10696497"/>
    <n v="26443758"/>
    <n v="265291757.27155399"/>
    <n v="48777"/>
    <n v="36208"/>
    <n v="29569"/>
    <n v="22235"/>
    <n v="11273"/>
    <x v="1"/>
  </r>
  <r>
    <x v="0"/>
    <n v="24998823"/>
    <n v="214569"/>
    <x v="1"/>
    <x v="9"/>
    <n v="18602323.880293701"/>
    <n v="18334212.2889295"/>
    <n v="18465758.5041916"/>
    <n v="19007000.847759999"/>
    <n v="85.446696815148002"/>
    <n v="86.059768672043106"/>
    <n v="88.582231579398893"/>
    <n v="5964186.3299997998"/>
    <n v="6785844.0536000701"/>
    <n v="9613399"/>
    <n v="21824337"/>
    <n v="237091615.69664499"/>
    <n v="23182"/>
    <n v="17502"/>
    <n v="14303"/>
    <n v="11017"/>
    <n v="5803"/>
    <x v="1"/>
  </r>
  <r>
    <x v="0"/>
    <n v="24998823"/>
    <n v="58779"/>
    <x v="1"/>
    <x v="10"/>
    <n v="46819100.912723802"/>
    <n v="48223070.106115401"/>
    <n v="46101111.430172898"/>
    <n v="46133121.201883398"/>
    <n v="820.41324463014701"/>
    <n v="784.31261896549597"/>
    <n v="784.85719733039696"/>
    <n v="13937553.34"/>
    <n v="23242456.152699899"/>
    <n v="20759681"/>
    <n v="18137472"/>
    <n v="501651564.41780001"/>
    <n v="1130"/>
    <n v="894"/>
    <n v="753"/>
    <n v="616"/>
    <n v="385"/>
    <x v="3"/>
  </r>
  <r>
    <x v="0"/>
    <n v="24998823"/>
    <n v="15567"/>
    <x v="1"/>
    <x v="11"/>
    <n v="-70089.340477682199"/>
    <n v="-74597.738937742499"/>
    <n v="-65481.787181744803"/>
    <n v="-70188.495313559004"/>
    <n v="-4.7920433569565404"/>
    <n v="-4.2064487172701703"/>
    <n v="-4.5088003670301902"/>
    <n v="12523.47"/>
    <n v="5786.03999999999"/>
    <n v="27564"/>
    <n v="84266"/>
    <n v="720652302.90063202"/>
    <n v="6579"/>
    <n v="5882"/>
    <n v="4833"/>
    <n v="3087"/>
    <n v="2240"/>
    <x v="0"/>
  </r>
  <r>
    <x v="0"/>
    <n v="24998823"/>
    <n v="1523993"/>
    <x v="2"/>
    <x v="0"/>
    <n v="4118810.3659062702"/>
    <n v="2612132.52948137"/>
    <n v="3176401.0018632198"/>
    <n v="6567897.5663804803"/>
    <n v="1.7140055954859199"/>
    <n v="2.08426219927731"/>
    <n v="4.3096638674721497"/>
    <n v="1103183.77999998"/>
    <n v="516354.67999999202"/>
    <n v="2115765"/>
    <n v="9625341"/>
    <n v="430005602.49894798"/>
    <n v="1225831"/>
    <n v="1101307"/>
    <n v="927959"/>
    <n v="440034"/>
    <n v="215046"/>
    <x v="0"/>
  </r>
  <r>
    <x v="0"/>
    <n v="24998823"/>
    <n v="611369"/>
    <x v="2"/>
    <x v="1"/>
    <n v="9960164.0834476706"/>
    <n v="7533148.4499452002"/>
    <n v="8381267.5288535701"/>
    <n v="13966076.2715481"/>
    <n v="12.321770403708999"/>
    <n v="13.709016206012301"/>
    <n v="22.8439392110953"/>
    <n v="3067761.06999976"/>
    <n v="2004641.0400000501"/>
    <n v="5983703"/>
    <n v="10879614"/>
    <n v="164865976.11620599"/>
    <n v="357679"/>
    <n v="309366"/>
    <n v="275390"/>
    <n v="160597"/>
    <n v="75590"/>
    <x v="0"/>
  </r>
  <r>
    <x v="0"/>
    <n v="24998823"/>
    <n v="99269"/>
    <x v="2"/>
    <x v="2"/>
    <n v="11078773.861659"/>
    <n v="10512103.9025447"/>
    <n v="11043082.5058043"/>
    <n v="11681135.1766279"/>
    <n v="105.89513244361"/>
    <n v="111.24401883573201"/>
    <n v="117.67153065537001"/>
    <n v="3926654.10999995"/>
    <n v="3602129.5000000098"/>
    <n v="7140781"/>
    <n v="8909441"/>
    <n v="165720787.90605"/>
    <n v="19045"/>
    <n v="16020"/>
    <n v="14206"/>
    <n v="11376"/>
    <n v="6340"/>
    <x v="1"/>
  </r>
  <r>
    <x v="0"/>
    <n v="24998823"/>
    <n v="66076"/>
    <x v="2"/>
    <x v="3"/>
    <n v="9029276.5098525696"/>
    <n v="8706278.2472579293"/>
    <n v="9031129.9614002891"/>
    <n v="9350421.3208995201"/>
    <n v="131.76158131935799"/>
    <n v="136.67791575459"/>
    <n v="141.51009929323001"/>
    <n v="3201914.4099999899"/>
    <n v="3029454.9208999998"/>
    <n v="5922737"/>
    <n v="6851199"/>
    <n v="132765071.896936"/>
    <n v="11242"/>
    <n v="9505"/>
    <n v="8371"/>
    <n v="6738"/>
    <n v="3790"/>
    <x v="2"/>
  </r>
  <r>
    <x v="0"/>
    <n v="24998823"/>
    <n v="79528"/>
    <x v="2"/>
    <x v="4"/>
    <n v="13695405.323764"/>
    <n v="13399427.039037799"/>
    <n v="13719843.8622512"/>
    <n v="13966945.0700029"/>
    <n v="168.48691076146599"/>
    <n v="172.515892041184"/>
    <n v="175.62298901019699"/>
    <n v="4922184.0599999595"/>
    <n v="4728523.8209000099"/>
    <n v="9071419"/>
    <n v="9603130"/>
    <n v="199083844.83686301"/>
    <n v="11844"/>
    <n v="9975"/>
    <n v="8838"/>
    <n v="7223"/>
    <n v="4168"/>
    <x v="2"/>
  </r>
  <r>
    <x v="0"/>
    <n v="24998823"/>
    <n v="69582"/>
    <x v="2"/>
    <x v="5"/>
    <n v="16819520.799621999"/>
    <n v="16800413.8583478"/>
    <n v="16856821.976252101"/>
    <n v="16801326.564266101"/>
    <n v="241.44769995613501"/>
    <n v="242.258371076602"/>
    <n v="241.46081693923799"/>
    <n v="5980909.77999999"/>
    <n v="6195517.9200000102"/>
    <n v="11124969"/>
    <n v="10442450"/>
    <n v="242264157.495289"/>
    <n v="8322"/>
    <n v="7063"/>
    <n v="6244"/>
    <n v="5132"/>
    <n v="3047"/>
    <x v="2"/>
  </r>
  <r>
    <x v="0"/>
    <n v="24998823"/>
    <n v="488583"/>
    <x v="2"/>
    <x v="6"/>
    <n v="17597041.8140455"/>
    <n v="15032598.418943901"/>
    <n v="16451487.805598199"/>
    <n v="21307039.217596699"/>
    <n v="30.767747586272801"/>
    <n v="33.671838368502797"/>
    <n v="43.609866118134903"/>
    <n v="5998749.4299993701"/>
    <n v="4608319.9909001198"/>
    <n v="10696039"/>
    <n v="17616832"/>
    <n v="272421672.62926298"/>
    <n v="194934"/>
    <n v="163518"/>
    <n v="144529"/>
    <n v="101879"/>
    <n v="49467"/>
    <x v="1"/>
  </r>
  <r>
    <x v="0"/>
    <n v="24998823"/>
    <n v="41986"/>
    <x v="2"/>
    <x v="7"/>
    <n v="15814193.9848198"/>
    <n v="16111528.265006799"/>
    <n v="15810254.6174039"/>
    <n v="15520799.0720488"/>
    <n v="383.73572774274197"/>
    <n v="376.56015379897798"/>
    <n v="369.66605706780501"/>
    <n v="5618471.54999997"/>
    <n v="6388121.3400000101"/>
    <n v="9878584"/>
    <n v="8253473"/>
    <n v="216767545.00587001"/>
    <n v="3751"/>
    <n v="3219"/>
    <n v="2842"/>
    <n v="2398"/>
    <n v="1477"/>
    <x v="3"/>
  </r>
  <r>
    <x v="0"/>
    <n v="24998823"/>
    <n v="262268"/>
    <x v="2"/>
    <x v="8"/>
    <n v="16095084.506738899"/>
    <n v="14475174.933059299"/>
    <n v="15655491.886292901"/>
    <n v="18154586.700865"/>
    <n v="55.192303037577197"/>
    <n v="59.692726090460603"/>
    <n v="69.221508917843593"/>
    <n v="5651882.6499997396"/>
    <n v="4758465.7500000596"/>
    <n v="9665654"/>
    <n v="14774765"/>
    <n v="243456155.074918"/>
    <n v="75432"/>
    <n v="63074"/>
    <n v="55669"/>
    <n v="42292"/>
    <n v="21577"/>
    <x v="1"/>
  </r>
  <r>
    <x v="0"/>
    <n v="24998823"/>
    <n v="155880"/>
    <x v="2"/>
    <x v="9"/>
    <n v="13483533.5900426"/>
    <n v="12520627.403354401"/>
    <n v="13333339.8643618"/>
    <n v="14596633.5024119"/>
    <n v="80.322218394626802"/>
    <n v="85.5359242004224"/>
    <n v="93.640194395765604"/>
    <n v="4754683.1999999201"/>
    <n v="4243082.4709000299"/>
    <n v="8456721"/>
    <n v="11514168"/>
    <n v="200537782.83456501"/>
    <n v="35961"/>
    <n v="30059"/>
    <n v="26639"/>
    <n v="20891"/>
    <n v="11170"/>
    <x v="1"/>
  </r>
  <r>
    <x v="0"/>
    <n v="24998823"/>
    <n v="21234"/>
    <x v="2"/>
    <x v="10"/>
    <n v="16493759.508958699"/>
    <n v="16972476.072350901"/>
    <n v="16184482.5611597"/>
    <n v="16324319.8933657"/>
    <n v="799.30658718804398"/>
    <n v="762.19659796362896"/>
    <n v="768.78213682611602"/>
    <n v="5854713.6099999798"/>
    <n v="7971318.0099999905"/>
    <n v="8020566"/>
    <n v="6484613"/>
    <n v="226998738.963626"/>
    <n v="1364"/>
    <n v="1183"/>
    <n v="1034"/>
    <n v="880"/>
    <n v="582"/>
    <x v="3"/>
  </r>
  <r>
    <x v="0"/>
    <n v="24998823"/>
    <n v="27302"/>
    <x v="2"/>
    <x v="11"/>
    <n v="-131604.82757620999"/>
    <n v="-178179.904790014"/>
    <n v="-110984.710937878"/>
    <n v="-105649.867000741"/>
    <n v="-6.5262583250316597"/>
    <n v="-4.0650762192468699"/>
    <n v="-3.8696750055212399"/>
    <n v="17365.749999999902"/>
    <n v="5246.08"/>
    <n v="300279"/>
    <n v="1129577"/>
    <n v="429677364.40892601"/>
    <n v="13097"/>
    <n v="11602"/>
    <n v="9210"/>
    <n v="4930"/>
    <n v="3183"/>
    <x v="0"/>
  </r>
  <r>
    <x v="0"/>
    <n v="24998823"/>
    <n v="895156"/>
    <x v="3"/>
    <x v="0"/>
    <n v="2578779.3259579702"/>
    <n v="1896116.6244079201"/>
    <n v="2044776.80275592"/>
    <n v="3795444.5507103801"/>
    <n v="2.1181968555289998"/>
    <n v="2.2842686668646799"/>
    <n v="4.23998113257396"/>
    <n v="699764.77000001702"/>
    <n v="357046.46999999601"/>
    <n v="1402224"/>
    <n v="6630390"/>
    <n v="389945607.51912099"/>
    <n v="667567"/>
    <n v="581087"/>
    <n v="495588"/>
    <n v="266104"/>
    <n v="135182"/>
    <x v="0"/>
  </r>
  <r>
    <x v="0"/>
    <n v="24998823"/>
    <n v="396348"/>
    <x v="3"/>
    <x v="1"/>
    <n v="6573902.27350464"/>
    <n v="5358979.4463857897"/>
    <n v="5680622.1652016304"/>
    <n v="8682105.2089278102"/>
    <n v="13.5208943816691"/>
    <n v="14.3324103192185"/>
    <n v="21.905258028116201"/>
    <n v="1978834.3199998999"/>
    <n v="1473521.5300000201"/>
    <n v="4250888"/>
    <n v="9346266"/>
    <n v="117201313.01606899"/>
    <n v="199702"/>
    <n v="163822"/>
    <n v="140534"/>
    <n v="91151"/>
    <n v="44636"/>
    <x v="0"/>
  </r>
  <r>
    <x v="0"/>
    <n v="24998823"/>
    <n v="71957"/>
    <x v="3"/>
    <x v="2"/>
    <n v="8033837.0702037103"/>
    <n v="7829619.2893656502"/>
    <n v="7899819.7403109502"/>
    <n v="8372072.1809346098"/>
    <n v="108.809695920697"/>
    <n v="109.785284827201"/>
    <n v="116.348266060767"/>
    <n v="2516221.2999999798"/>
    <n v="2792847.5"/>
    <n v="5503872"/>
    <n v="7188781"/>
    <n v="130940058.887741"/>
    <n v="9929"/>
    <n v="7933"/>
    <n v="6820"/>
    <n v="5604"/>
    <n v="3183"/>
    <x v="1"/>
  </r>
  <r>
    <x v="0"/>
    <n v="24998823"/>
    <n v="49187"/>
    <x v="3"/>
    <x v="3"/>
    <n v="6723675.2037776299"/>
    <n v="6628405.7708493201"/>
    <n v="6630296.1374288201"/>
    <n v="6912323.7030547401"/>
    <n v="134.75930166200999"/>
    <n v="134.79773390182001"/>
    <n v="140.53151651970501"/>
    <n v="2064426.56999998"/>
    <n v="2411726.2718000002"/>
    <n v="4727492"/>
    <n v="5538124"/>
    <n v="109251558.274702"/>
    <n v="5912"/>
    <n v="4795"/>
    <n v="4120"/>
    <n v="3363"/>
    <n v="1937"/>
    <x v="2"/>
  </r>
  <r>
    <x v="0"/>
    <n v="24998823"/>
    <n v="58628"/>
    <x v="3"/>
    <x v="4"/>
    <n v="10102572.903965"/>
    <n v="10051582.7143417"/>
    <n v="9990284.0557850301"/>
    <n v="10265851.9417683"/>
    <n v="171.446795291358"/>
    <n v="170.40124267901001"/>
    <n v="175.10152046408399"/>
    <n v="3058410.9499999802"/>
    <n v="3738381.05"/>
    <n v="7150543"/>
    <n v="7565776"/>
    <n v="163091276.08888999"/>
    <n v="6103"/>
    <n v="4960"/>
    <n v="4299"/>
    <n v="3553"/>
    <n v="2084"/>
    <x v="2"/>
  </r>
  <r>
    <x v="0"/>
    <n v="24998823"/>
    <n v="51995"/>
    <x v="3"/>
    <x v="5"/>
    <n v="12565444.1557987"/>
    <n v="12678634.553693701"/>
    <n v="12484060.2686981"/>
    <n v="12533637.6450042"/>
    <n v="243.84334173850701"/>
    <n v="240.10116874118901"/>
    <n v="241.054671506956"/>
    <n v="3792556.1699999799"/>
    <n v="4804938.72"/>
    <n v="8874160"/>
    <n v="8212304"/>
    <n v="193654108.428556"/>
    <n v="4144"/>
    <n v="3403"/>
    <n v="2950"/>
    <n v="2475"/>
    <n v="1495"/>
    <x v="2"/>
  </r>
  <r>
    <x v="0"/>
    <n v="24998823"/>
    <n v="347892"/>
    <x v="3"/>
    <x v="6"/>
    <n v="12572949.352528"/>
    <n v="11169623.8575445"/>
    <n v="11711333.883874301"/>
    <n v="14837890.316166"/>
    <n v="32.106584392698302"/>
    <n v="33.663705643919201"/>
    <n v="42.650852322462299"/>
    <n v="3986685.9799998002"/>
    <n v="3534262.3500000699"/>
    <n v="7903003"/>
    <n v="14973254"/>
    <n v="209875058.05218899"/>
    <n v="115172"/>
    <n v="92346"/>
    <n v="78898"/>
    <n v="58131"/>
    <n v="28987"/>
    <x v="1"/>
  </r>
  <r>
    <x v="0"/>
    <n v="24998823"/>
    <n v="32060"/>
    <x v="3"/>
    <x v="7"/>
    <n v="12095769.256600499"/>
    <n v="12302493.782208299"/>
    <n v="12035479.7117665"/>
    <n v="11949334.2758267"/>
    <n v="383.733430511802"/>
    <n v="375.40485688604298"/>
    <n v="372.71785015055298"/>
    <n v="3562089.8299999801"/>
    <n v="5024957.0999999996"/>
    <n v="7588177"/>
    <n v="6279373"/>
    <n v="170954288.205286"/>
    <n v="1908"/>
    <n v="1594"/>
    <n v="1389"/>
    <n v="1163"/>
    <n v="719"/>
    <x v="3"/>
  </r>
  <r>
    <x v="0"/>
    <n v="24998823"/>
    <n v="191649"/>
    <x v="3"/>
    <x v="8"/>
    <n v="11759224.4316718"/>
    <n v="11005604.024626199"/>
    <n v="11338023.369621299"/>
    <n v="12934045.900768001"/>
    <n v="57.425835901185401"/>
    <n v="59.1603575788101"/>
    <n v="67.488199264113405"/>
    <n v="3756752.35999991"/>
    <n v="3729112.66000003"/>
    <n v="7440769"/>
    <n v="12440023"/>
    <n v="193234497.79316601"/>
    <n v="42908"/>
    <n v="34187"/>
    <n v="29381"/>
    <n v="23052"/>
    <n v="12117"/>
    <x v="1"/>
  </r>
  <r>
    <x v="0"/>
    <n v="24998823"/>
    <n v="114292"/>
    <x v="3"/>
    <x v="9"/>
    <n v="9887857.7273408193"/>
    <n v="9488307.2372086495"/>
    <n v="9647973.9145264793"/>
    <n v="10527292.030287299"/>
    <n v="83.018122328847596"/>
    <n v="84.415128920016102"/>
    <n v="92.108739284353703"/>
    <n v="3128013.8699999601"/>
    <n v="3330227.3709000102"/>
    <n v="6539339"/>
    <n v="9474097"/>
    <n v="160850089.56837901"/>
    <n v="19651"/>
    <n v="15764"/>
    <n v="13535"/>
    <n v="10897"/>
    <n v="6008"/>
    <x v="1"/>
  </r>
  <r>
    <x v="0"/>
    <n v="24998823"/>
    <n v="17125"/>
    <x v="3"/>
    <x v="10"/>
    <n v="13471408.7638359"/>
    <n v="14009632.8476013"/>
    <n v="13231252.160805801"/>
    <n v="13173341.283100599"/>
    <n v="818.08075022489299"/>
    <n v="772.62786340472303"/>
    <n v="769.24620631244602"/>
    <n v="4079285.46999999"/>
    <n v="6985242.1699999999"/>
    <n v="6496902"/>
    <n v="4824117"/>
    <n v="183977478.10178599"/>
    <n v="668"/>
    <n v="544"/>
    <n v="453"/>
    <n v="391"/>
    <n v="267"/>
    <x v="3"/>
  </r>
  <r>
    <x v="0"/>
    <n v="24998823"/>
    <n v="21592"/>
    <x v="3"/>
    <x v="11"/>
    <n v="-197401.82548454899"/>
    <n v="-206517.95860099001"/>
    <n v="-167400.162678872"/>
    <n v="-218287.35517378699"/>
    <n v="-9.5645590311685194"/>
    <n v="-7.7528789680841097"/>
    <n v="-10.1096403841139"/>
    <n v="9555.23"/>
    <n v="6483.66"/>
    <n v="1111825"/>
    <n v="180195"/>
    <n v="414499402.66821498"/>
    <n v="7393"/>
    <n v="6484"/>
    <n v="5594"/>
    <n v="3626"/>
    <n v="2632"/>
    <x v="0"/>
  </r>
  <r>
    <x v="0"/>
    <n v="24998823"/>
    <n v="436474"/>
    <x v="4"/>
    <x v="0"/>
    <n v="1254378.5099794201"/>
    <n v="912634.63493804296"/>
    <n v="1016574.12866127"/>
    <n v="1833926.76633876"/>
    <n v="2.0909255418147299"/>
    <n v="2.32905998676042"/>
    <n v="4.2016861630675999"/>
    <n v="354245.66000000498"/>
    <n v="175811.83999999901"/>
    <n v="780266"/>
    <n v="4094980"/>
    <n v="507815509.60150898"/>
    <n v="317951"/>
    <n v="275450"/>
    <n v="234203"/>
    <n v="126763"/>
    <n v="65238"/>
    <x v="0"/>
  </r>
  <r>
    <x v="0"/>
    <n v="24998823"/>
    <n v="211440"/>
    <x v="4"/>
    <x v="1"/>
    <n v="3545335.3718831502"/>
    <n v="2933979.6944868499"/>
    <n v="3089828.3844179502"/>
    <n v="4612198.0367448898"/>
    <n v="13.8761809236041"/>
    <n v="14.613263263422001"/>
    <n v="21.813271078059401"/>
    <n v="1135427.3899999899"/>
    <n v="778900.76999999594"/>
    <n v="2422867"/>
    <n v="5768308"/>
    <n v="66216781.854934603"/>
    <n v="99263"/>
    <n v="80644"/>
    <n v="68496"/>
    <n v="44328"/>
    <n v="21114"/>
    <x v="0"/>
  </r>
  <r>
    <x v="0"/>
    <n v="24998823"/>
    <n v="48523"/>
    <x v="4"/>
    <x v="2"/>
    <n v="5415811.7469564397"/>
    <n v="5314739.5007995795"/>
    <n v="5326325.8293324504"/>
    <n v="5606369.9107372696"/>
    <n v="109.530315536953"/>
    <n v="109.76909567282399"/>
    <n v="115.540463506734"/>
    <n v="1748505.6499999899"/>
    <n v="1814913"/>
    <n v="3503831"/>
    <n v="5292035"/>
    <n v="88827822.261015803"/>
    <n v="5614"/>
    <n v="4497"/>
    <n v="3797"/>
    <n v="3052"/>
    <n v="1631"/>
    <x v="1"/>
  </r>
  <r>
    <x v="0"/>
    <n v="24998823"/>
    <n v="33061"/>
    <x v="4"/>
    <x v="3"/>
    <n v="4523436.2369905598"/>
    <n v="4502935.0494659897"/>
    <n v="4451707.0757641802"/>
    <n v="4615666.5857415302"/>
    <n v="136.200812118991"/>
    <n v="134.651313504255"/>
    <n v="139.61061630747801"/>
    <n v="1430331.5999999901"/>
    <n v="1580375.51"/>
    <n v="2937082"/>
    <n v="4042817"/>
    <n v="74554873.088305399"/>
    <n v="3297"/>
    <n v="2615"/>
    <n v="2250"/>
    <n v="1839"/>
    <n v="1042"/>
    <x v="2"/>
  </r>
  <r>
    <x v="0"/>
    <n v="24998823"/>
    <n v="40414"/>
    <x v="4"/>
    <x v="4"/>
    <n v="6968982.7234051097"/>
    <n v="6958984.76279015"/>
    <n v="6888652.56894767"/>
    <n v="7059310.8384775398"/>
    <n v="172.19242744568999"/>
    <n v="170.45213463026801"/>
    <n v="174.67488589294601"/>
    <n v="2161941.1299999901"/>
    <n v="2514203.6899999902"/>
    <n v="4618406"/>
    <n v="5619055"/>
    <n v="109509393.535965"/>
    <n v="3415"/>
    <n v="2756"/>
    <n v="2339"/>
    <n v="1893"/>
    <n v="1061"/>
    <x v="2"/>
  </r>
  <r>
    <x v="0"/>
    <n v="24998823"/>
    <n v="36788"/>
    <x v="4"/>
    <x v="5"/>
    <n v="8899903.6398864295"/>
    <n v="8991104.1385299005"/>
    <n v="8819763.0808237791"/>
    <n v="8888843.7003056109"/>
    <n v="244.40317871398"/>
    <n v="239.745652952695"/>
    <n v="241.62345602657399"/>
    <n v="2685123.8699999899"/>
    <n v="3376859.9909000001"/>
    <n v="5826121"/>
    <n v="6172184"/>
    <n v="133052293.759211"/>
    <n v="2481"/>
    <n v="2047"/>
    <n v="1757"/>
    <n v="1476"/>
    <n v="864"/>
    <x v="2"/>
  </r>
  <r>
    <x v="0"/>
    <n v="24998823"/>
    <n v="207440"/>
    <x v="4"/>
    <x v="6"/>
    <n v="7543066.2899494804"/>
    <n v="6796177.9422351997"/>
    <n v="7081678.1787632396"/>
    <n v="8751342.7488502692"/>
    <n v="32.762138171207098"/>
    <n v="34.138440892611101"/>
    <n v="42.187344527816599"/>
    <n v="2529597.9699999299"/>
    <n v="2068979.95000002"/>
    <n v="4809053"/>
    <n v="9948342"/>
    <n v="130572495.081402"/>
    <n v="61270"/>
    <n v="48405"/>
    <n v="41040"/>
    <n v="30065"/>
    <n v="14377"/>
    <x v="1"/>
  </r>
  <r>
    <x v="0"/>
    <n v="24998823"/>
    <n v="23808"/>
    <x v="4"/>
    <x v="7"/>
    <n v="8999644.5899559092"/>
    <n v="9168856.0084229298"/>
    <n v="8891752.9675399903"/>
    <n v="8938324.7939048205"/>
    <n v="385.11659981615099"/>
    <n v="373.47752719841998"/>
    <n v="375.433669098824"/>
    <n v="2625196.6599999899"/>
    <n v="3767850.09"/>
    <n v="5459045"/>
    <n v="4919551"/>
    <n v="122959128.748417"/>
    <n v="1178"/>
    <n v="990"/>
    <n v="835"/>
    <n v="703"/>
    <n v="436"/>
    <x v="3"/>
  </r>
  <r>
    <x v="0"/>
    <n v="24998823"/>
    <n v="122561"/>
    <x v="4"/>
    <x v="8"/>
    <n v="7528169.5921541397"/>
    <n v="7095625.1930673998"/>
    <n v="7283117.5624236101"/>
    <n v="8205766.0209715702"/>
    <n v="57.894641795247999"/>
    <n v="59.424429977102101"/>
    <n v="66.952505454194807"/>
    <n v="2491169.3599999598"/>
    <n v="2322960.17090001"/>
    <n v="4611607"/>
    <n v="8637487"/>
    <n v="129888303.433788"/>
    <n v="23665"/>
    <n v="18633"/>
    <n v="15827"/>
    <n v="12382"/>
    <n v="6267"/>
    <x v="1"/>
  </r>
  <r>
    <x v="0"/>
    <n v="24998823"/>
    <n v="74552"/>
    <x v="4"/>
    <x v="9"/>
    <n v="6453314.7149642399"/>
    <n v="6219382.7710168799"/>
    <n v="6307819.0061852001"/>
    <n v="6832742.3676905902"/>
    <n v="83.423419506074694"/>
    <n v="84.609655088866802"/>
    <n v="91.650691700968295"/>
    <n v="2112382.8799999799"/>
    <n v="2100603.34"/>
    <n v="4021884"/>
    <n v="6701696"/>
    <n v="107245542.482677"/>
    <n v="10901"/>
    <n v="8604"/>
    <n v="7315"/>
    <n v="5850"/>
    <n v="3078"/>
    <x v="1"/>
  </r>
  <r>
    <x v="0"/>
    <n v="24998823"/>
    <n v="13774"/>
    <x v="4"/>
    <x v="10"/>
    <n v="10850849.344937"/>
    <n v="11245401.5824589"/>
    <n v="10551340.294952299"/>
    <n v="10755806.1573999"/>
    <n v="816.42235969645606"/>
    <n v="766.03312726530498"/>
    <n v="780.87746169594504"/>
    <n v="3179749.6299999901"/>
    <n v="5553752.1100000003"/>
    <n v="5069324"/>
    <n v="3953184"/>
    <n v="142353689.16563499"/>
    <n v="437"/>
    <n v="360"/>
    <n v="303"/>
    <n v="255"/>
    <n v="173"/>
    <x v="3"/>
  </r>
  <r>
    <x v="0"/>
    <n v="24998823"/>
    <n v="13757"/>
    <x v="4"/>
    <x v="11"/>
    <n v="-41696.416001071797"/>
    <n v="-44883.644370714901"/>
    <n v="-38850.957283213502"/>
    <n v="-41354.646349286901"/>
    <n v="-3.2626040830642502"/>
    <n v="-2.8240864493140601"/>
    <n v="-3.0060802754442699"/>
    <n v="6133.98"/>
    <n v="3290.34"/>
    <n v="31812"/>
    <n v="35341"/>
    <n v="734239075.35833502"/>
    <n v="4302"/>
    <n v="3889"/>
    <n v="3367"/>
    <n v="2389"/>
    <n v="1870"/>
    <x v="0"/>
  </r>
  <r>
    <x v="0"/>
    <n v="24998823"/>
    <n v="1530784"/>
    <x v="5"/>
    <x v="0"/>
    <n v="5154272.7650727304"/>
    <n v="4716806.8565625502"/>
    <n v="4671250.2620720901"/>
    <n v="6074761.1765863895"/>
    <n v="3.08130138318832"/>
    <n v="3.0515410809572701"/>
    <n v="3.9683986614613098"/>
    <n v="1964087.1759999499"/>
    <n v="456578.18099999201"/>
    <n v="3107215"/>
    <n v="40093700"/>
    <n v="147841950.97424001"/>
    <n v="739565"/>
    <n v="559890"/>
    <n v="427409"/>
    <n v="236505"/>
    <n v="126139"/>
    <x v="0"/>
  </r>
  <r>
    <x v="0"/>
    <n v="24998823"/>
    <n v="1049441"/>
    <x v="5"/>
    <x v="1"/>
    <n v="17959240.5955818"/>
    <n v="17349412.5154735"/>
    <n v="17186999.3208686"/>
    <n v="19341309.9504048"/>
    <n v="16.5320513639866"/>
    <n v="16.377289738888201"/>
    <n v="18.4301070287942"/>
    <n v="8963199.5729995202"/>
    <n v="2569155.3044000999"/>
    <n v="14677396"/>
    <n v="62099861"/>
    <n v="213206125.01315901"/>
    <n v="216820"/>
    <n v="142887"/>
    <n v="104444"/>
    <n v="62575"/>
    <n v="30502"/>
    <x v="0"/>
  </r>
  <r>
    <x v="0"/>
    <n v="24998823"/>
    <n v="563896"/>
    <x v="5"/>
    <x v="2"/>
    <n v="63139516.802517101"/>
    <n v="63396755.179092802"/>
    <n v="63979277.101551101"/>
    <n v="62042518.126907103"/>
    <n v="112.42632538463199"/>
    <n v="113.459356160623"/>
    <n v="110.024753016349"/>
    <n v="28202126.462300099"/>
    <n v="17270168.576899499"/>
    <n v="47837832"/>
    <n v="92076373"/>
    <n v="536802556.33929002"/>
    <n v="18729"/>
    <n v="12967"/>
    <n v="9752"/>
    <n v="6845"/>
    <n v="3703"/>
    <x v="1"/>
  </r>
  <r>
    <x v="0"/>
    <n v="24998823"/>
    <n v="444096"/>
    <x v="5"/>
    <x v="3"/>
    <n v="60838820.019113198"/>
    <n v="61226696.462684304"/>
    <n v="61611748.612681597"/>
    <n v="59678014.9819737"/>
    <n v="137.86815567508901"/>
    <n v="138.73520277751101"/>
    <n v="134.38088832588801"/>
    <n v="26257189.519499999"/>
    <n v="17616555.875199702"/>
    <n v="46674469"/>
    <n v="80676905"/>
    <n v="523712450.748209"/>
    <n v="11857"/>
    <n v="8257"/>
    <n v="6225"/>
    <n v="4449"/>
    <n v="2427"/>
    <x v="2"/>
  </r>
  <r>
    <x v="0"/>
    <n v="24998823"/>
    <n v="641943"/>
    <x v="5"/>
    <x v="4"/>
    <n v="111226500.035962"/>
    <n v="112280604.783749"/>
    <n v="112507521.803554"/>
    <n v="108891373.52058201"/>
    <n v="174.90743692781101"/>
    <n v="175.26092161384099"/>
    <n v="169.627791751888"/>
    <n v="46348334.923000596"/>
    <n v="34321582.951299302"/>
    <n v="85508819"/>
    <n v="130778457"/>
    <n v="960189351.92221606"/>
    <n v="13429"/>
    <n v="9518"/>
    <n v="7227"/>
    <n v="5252"/>
    <n v="2906"/>
    <x v="2"/>
  </r>
  <r>
    <x v="0"/>
    <n v="24998823"/>
    <n v="741027"/>
    <x v="5"/>
    <x v="5"/>
    <n v="180929499.66648301"/>
    <n v="184075370.458011"/>
    <n v="181750208.24941701"/>
    <n v="176962920.29202101"/>
    <n v="248.40575371479201"/>
    <n v="245.267997319149"/>
    <n v="238.807655175886"/>
    <n v="71180632.374399498"/>
    <n v="61565530.007099099"/>
    <n v="138719524"/>
    <n v="179772306"/>
    <n v="1583235279.4636099"/>
    <n v="10773"/>
    <n v="7894"/>
    <n v="6018"/>
    <n v="4417"/>
    <n v="2519"/>
    <x v="2"/>
  </r>
  <r>
    <x v="0"/>
    <n v="24998823"/>
    <n v="1305214"/>
    <x v="5"/>
    <x v="6"/>
    <n v="48081046.363827899"/>
    <n v="47280557.413636699"/>
    <n v="47791751.014564"/>
    <n v="49170830.663284197"/>
    <n v="36.224371952520201"/>
    <n v="36.6160269615281"/>
    <n v="37.672619710855201"/>
    <n v="24421934.682401098"/>
    <n v="8846844.8201999497"/>
    <n v="38703141"/>
    <n v="116495738"/>
    <n v="451190631.17880702"/>
    <n v="139760"/>
    <n v="91691"/>
    <n v="67723"/>
    <n v="44007"/>
    <n v="21744"/>
    <x v="1"/>
  </r>
  <r>
    <x v="0"/>
    <n v="24998823"/>
    <n v="608938"/>
    <x v="5"/>
    <x v="7"/>
    <n v="232468674.702647"/>
    <n v="238516704.92333299"/>
    <n v="231587517.47151399"/>
    <n v="227301801.71309099"/>
    <n v="391.692922634708"/>
    <n v="380.313788056443"/>
    <n v="373.275771446504"/>
    <n v="83798486.808799401"/>
    <n v="90547917.997599497"/>
    <n v="166856610"/>
    <n v="184041750"/>
    <n v="2059064266.1254399"/>
    <n v="5632"/>
    <n v="4157"/>
    <n v="3176"/>
    <n v="2348"/>
    <n v="1399"/>
    <x v="3"/>
  </r>
  <r>
    <x v="0"/>
    <n v="24998823"/>
    <n v="967370"/>
    <x v="5"/>
    <x v="8"/>
    <n v="59877443.5405588"/>
    <n v="59488148.443251699"/>
    <n v="60361612.431171499"/>
    <n v="59782569.747253902"/>
    <n v="61.494721195873097"/>
    <n v="62.397647674800197"/>
    <n v="61.799073516083702"/>
    <n v="29051886.512000099"/>
    <n v="13586171.8147994"/>
    <n v="46024514"/>
    <n v="114691460"/>
    <n v="523377414.72842598"/>
    <n v="60790"/>
    <n v="40386"/>
    <n v="30264"/>
    <n v="20833"/>
    <n v="10544"/>
    <x v="1"/>
  </r>
  <r>
    <x v="0"/>
    <n v="24998823"/>
    <n v="730990"/>
    <x v="5"/>
    <x v="9"/>
    <n v="63570616.760746203"/>
    <n v="63553944.002781197"/>
    <n v="64357391.939903803"/>
    <n v="62800514.339551099"/>
    <n v="86.942289228007496"/>
    <n v="88.041412249009994"/>
    <n v="85.911591594346206"/>
    <n v="29548016.873100299"/>
    <n v="16118405.268299401"/>
    <n v="47945771"/>
    <n v="104153657"/>
    <n v="543141719.89696598"/>
    <n v="31848"/>
    <n v="21647"/>
    <n v="16246"/>
    <n v="11339"/>
    <n v="5961"/>
    <x v="1"/>
  </r>
  <r>
    <x v="0"/>
    <n v="24998823"/>
    <n v="423465"/>
    <x v="5"/>
    <x v="10"/>
    <n v="338569519.060471"/>
    <n v="352413947.15632403"/>
    <n v="331632459.31059003"/>
    <n v="331662150.71448898"/>
    <n v="832.21505238053703"/>
    <n v="783.14018705345302"/>
    <n v="783.21030242048198"/>
    <n v="118567597.26989999"/>
    <n v="164747681.48809901"/>
    <n v="193562186"/>
    <n v="179211713"/>
    <n v="3159220045.8450899"/>
    <n v="2114"/>
    <n v="1570"/>
    <n v="1167"/>
    <n v="871"/>
    <n v="532"/>
    <x v="3"/>
  </r>
  <r>
    <x v="0"/>
    <n v="24998823"/>
    <n v="16750"/>
    <x v="5"/>
    <x v="11"/>
    <n v="-221153.448257257"/>
    <n v="-230858.93091027401"/>
    <n v="-205477.631956714"/>
    <n v="-227123.78190478499"/>
    <n v="-13.782622740911799"/>
    <n v="-12.267321310848599"/>
    <n v="-13.5596287704349"/>
    <n v="75682.130499999999"/>
    <n v="17697.3505"/>
    <n v="132034"/>
    <n v="355522"/>
    <n v="3258717.4370031301"/>
    <n v="7480"/>
    <n v="6256"/>
    <n v="4837"/>
    <n v="2812"/>
    <n v="1781"/>
    <x v="0"/>
  </r>
  <r>
    <x v="1"/>
    <n v="25101804"/>
    <n v="3250209"/>
    <x v="0"/>
    <x v="0"/>
    <n v="7528800.2464997899"/>
    <n v="13314418.678070899"/>
    <n v="5974911.2572705401"/>
    <n v="3297070.8041851199"/>
    <n v="4.0964807734121003"/>
    <n v="1.8383160151456499"/>
    <n v="1.0144180894782799"/>
    <n v="7127026.5899937199"/>
    <n v="3401556.9100009701"/>
    <n v="8368579"/>
    <n v="16829965"/>
    <n v="835653942.04734004"/>
    <n v="2445490"/>
    <n v="2263728"/>
    <n v="2099572"/>
    <n v="1527653"/>
    <n v="839303"/>
    <x v="0"/>
  </r>
  <r>
    <x v="1"/>
    <n v="25101804"/>
    <n v="1194287"/>
    <x v="0"/>
    <x v="1"/>
    <n v="17513450.499558199"/>
    <n v="29295873.611589201"/>
    <n v="15573124.394848401"/>
    <n v="7671353.4922529804"/>
    <n v="24.5300113051462"/>
    <n v="13.0396834218646"/>
    <n v="6.4233751956212997"/>
    <n v="12381499.520003499"/>
    <n v="8514924.2800003998"/>
    <n v="16647202"/>
    <n v="21321985"/>
    <n v="705612926.92254901"/>
    <n v="680014"/>
    <n v="624105"/>
    <n v="580778"/>
    <n v="444583"/>
    <n v="239718"/>
    <x v="0"/>
  </r>
  <r>
    <x v="1"/>
    <n v="25101804"/>
    <n v="71296"/>
    <x v="0"/>
    <x v="2"/>
    <n v="7948333.2794831404"/>
    <n v="12959038.417453"/>
    <n v="8324889.8836164698"/>
    <n v="2561071.5373800602"/>
    <n v="181.76389162720201"/>
    <n v="116.765174534566"/>
    <n v="35.921672146825401"/>
    <n v="5218064.6199999396"/>
    <n v="4266597.6709000198"/>
    <n v="7884788"/>
    <n v="7129665"/>
    <n v="236342359.33057699"/>
    <n v="12393"/>
    <n v="10731"/>
    <n v="9566"/>
    <n v="8254"/>
    <n v="5534"/>
    <x v="1"/>
  </r>
  <r>
    <x v="1"/>
    <n v="25101804"/>
    <n v="44478"/>
    <x v="0"/>
    <x v="3"/>
    <n v="6071299.2805713797"/>
    <n v="9787056.0504244994"/>
    <n v="6470298.0160774998"/>
    <n v="1956543.7752121501"/>
    <n v="220.04262894969401"/>
    <n v="145.47187409680001"/>
    <n v="43.989023229735103"/>
    <n v="3892846.2399999802"/>
    <n v="3303574.8"/>
    <n v="5918630"/>
    <n v="5066168"/>
    <n v="173687133.10041201"/>
    <n v="7228"/>
    <n v="6332"/>
    <n v="5723"/>
    <n v="5023"/>
    <n v="3371"/>
    <x v="2"/>
  </r>
  <r>
    <x v="1"/>
    <n v="25101804"/>
    <n v="49365"/>
    <x v="0"/>
    <x v="4"/>
    <n v="8474688.4306119606"/>
    <n v="13445830.519670701"/>
    <n v="9121219.7509085909"/>
    <n v="2857015.0212566"/>
    <n v="272.37578283542501"/>
    <n v="184.770986547322"/>
    <n v="57.875316950402201"/>
    <n v="5161457.3799999701"/>
    <n v="4812024.5109000104"/>
    <n v="7843088"/>
    <n v="6382376"/>
    <n v="235514156.260153"/>
    <n v="7436"/>
    <n v="6591"/>
    <n v="5931"/>
    <n v="5169"/>
    <n v="3479"/>
    <x v="2"/>
  </r>
  <r>
    <x v="1"/>
    <n v="25101804"/>
    <n v="38755"/>
    <x v="0"/>
    <x v="5"/>
    <n v="9326633.8183075208"/>
    <n v="14646311.4544171"/>
    <n v="10153468.6169292"/>
    <n v="3180121.3835762502"/>
    <n v="377.92056391219398"/>
    <n v="261.99119125091602"/>
    <n v="82.057060600599897"/>
    <n v="5465281.04999997"/>
    <n v="5619348.3499999996"/>
    <n v="8071245"/>
    <n v="6126044"/>
    <n v="242028376.80680099"/>
    <n v="4954"/>
    <n v="4428"/>
    <n v="4010"/>
    <n v="3545"/>
    <n v="2411"/>
    <x v="2"/>
  </r>
  <r>
    <x v="1"/>
    <n v="25101804"/>
    <n v="558826"/>
    <x v="0"/>
    <x v="6"/>
    <n v="19834139.622404002"/>
    <n v="35034871.216510303"/>
    <n v="18236028.067272399"/>
    <n v="6231519.5834322302"/>
    <n v="62.6937028994898"/>
    <n v="32.632748059811902"/>
    <n v="11.1510910076342"/>
    <n v="15786280.120002899"/>
    <n v="10640750.8408996"/>
    <n v="21004127"/>
    <n v="25576958"/>
    <n v="672030591.87739599"/>
    <n v="173546"/>
    <n v="147546"/>
    <n v="129419"/>
    <n v="105922"/>
    <n v="66532"/>
    <x v="1"/>
  </r>
  <r>
    <x v="1"/>
    <n v="25101804"/>
    <n v="20581"/>
    <x v="0"/>
    <x v="7"/>
    <n v="7701114.2775861304"/>
    <n v="11753329.2271684"/>
    <n v="8539551.9559757393"/>
    <n v="2810461.6496142801"/>
    <n v="571.07668369702105"/>
    <n v="414.92405402923703"/>
    <n v="136.55612699160699"/>
    <n v="4225998.28"/>
    <n v="4974952.6617999999"/>
    <n v="5893412"/>
    <n v="4235596"/>
    <n v="180811000.85152301"/>
    <n v="2186"/>
    <n v="1952"/>
    <n v="1793"/>
    <n v="1586"/>
    <n v="1052"/>
    <x v="3"/>
  </r>
  <r>
    <x v="1"/>
    <n v="25101804"/>
    <n v="241880"/>
    <x v="0"/>
    <x v="8"/>
    <n v="14760491.608335"/>
    <n v="25112184.5710821"/>
    <n v="14559330.866660601"/>
    <n v="4609959.3872629702"/>
    <n v="103.82083913958201"/>
    <n v="60.1923716994404"/>
    <n v="19.058869634789801"/>
    <n v="10702352.2600001"/>
    <n v="7842755.3700000998"/>
    <n v="15144462"/>
    <n v="16566669"/>
    <n v="476338867.13049197"/>
    <n v="57124"/>
    <n v="48777"/>
    <n v="43123"/>
    <n v="36311"/>
    <n v="23619"/>
    <x v="1"/>
  </r>
  <r>
    <x v="1"/>
    <n v="25101804"/>
    <n v="124853"/>
    <x v="0"/>
    <x v="9"/>
    <n v="10766871.5812866"/>
    <n v="17889730.111641899"/>
    <n v="11002052.9516176"/>
    <n v="3408831.6806005598"/>
    <n v="143.286345635603"/>
    <n v="88.1200527950283"/>
    <n v="27.302761492319402"/>
    <n v="7368089.03999981"/>
    <n v="5757466.2509000404"/>
    <n v="10982853"/>
    <n v="10764493"/>
    <n v="330979818.84142399"/>
    <n v="24586"/>
    <n v="21255"/>
    <n v="18900"/>
    <n v="16166"/>
    <n v="10790"/>
    <x v="1"/>
  </r>
  <r>
    <x v="1"/>
    <n v="25101804"/>
    <n v="8757"/>
    <x v="0"/>
    <x v="10"/>
    <n v="7016023.9485567799"/>
    <n v="10208413.8757807"/>
    <n v="7952407.7668776"/>
    <n v="2887250.20301197"/>
    <n v="1165.7432768962799"/>
    <n v="908.12010584419295"/>
    <n v="329.70768562429703"/>
    <n v="3203709.71"/>
    <n v="4886346.5199999996"/>
    <n v="3576058"/>
    <n v="2623504"/>
    <n v="140684636.832715"/>
    <n v="773"/>
    <n v="701"/>
    <n v="652"/>
    <n v="555"/>
    <n v="347"/>
    <x v="3"/>
  </r>
  <r>
    <x v="1"/>
    <n v="25101804"/>
    <n v="84902"/>
    <x v="0"/>
    <x v="11"/>
    <n v="-154338.883966116"/>
    <n v="-259254.537899638"/>
    <n v="-125879.139280655"/>
    <n v="-77882.974718058802"/>
    <n v="-3.0535739782294602"/>
    <n v="-1.4826404475825601"/>
    <n v="-0.91732791592729002"/>
    <n v="63552.239999999903"/>
    <n v="12176.73"/>
    <n v="256826"/>
    <n v="151213"/>
    <n v="238384094.528862"/>
    <n v="34632"/>
    <n v="32379"/>
    <n v="30169"/>
    <n v="24513"/>
    <n v="16435"/>
    <x v="0"/>
  </r>
  <r>
    <x v="1"/>
    <n v="25101804"/>
    <n v="1029655"/>
    <x v="1"/>
    <x v="0"/>
    <n v="3044254.6567248702"/>
    <n v="2426215.7871387"/>
    <n v="2354126.0199326202"/>
    <n v="4352422.1631046599"/>
    <n v="2.3563385669361998"/>
    <n v="2.2863250505583101"/>
    <n v="4.2270684482711802"/>
    <n v="926207.99000000698"/>
    <n v="421732.11999998998"/>
    <n v="1506518"/>
    <n v="15112773"/>
    <n v="627149815.31882298"/>
    <n v="709729"/>
    <n v="611878"/>
    <n v="510611"/>
    <n v="282070"/>
    <n v="149944"/>
    <x v="0"/>
  </r>
  <r>
    <x v="1"/>
    <n v="25101804"/>
    <n v="525029"/>
    <x v="1"/>
    <x v="1"/>
    <n v="8810892.5045984406"/>
    <n v="7920195.7963337004"/>
    <n v="7223320.3911520001"/>
    <n v="11289161.326310899"/>
    <n v="15.0852539504174"/>
    <n v="13.7579455442499"/>
    <n v="21.501976702831499"/>
    <n v="3199127.26999981"/>
    <n v="1997528.17000006"/>
    <n v="5891377"/>
    <n v="19794723"/>
    <n v="149642078.01192701"/>
    <n v="215502"/>
    <n v="170137"/>
    <n v="138130"/>
    <n v="82208"/>
    <n v="44006"/>
    <x v="0"/>
  </r>
  <r>
    <x v="1"/>
    <n v="25101804"/>
    <n v="156016"/>
    <x v="1"/>
    <x v="2"/>
    <n v="17438220.792760599"/>
    <n v="18180617.2662859"/>
    <n v="16440380.2596904"/>
    <n v="17693664.852305401"/>
    <n v="116.530466530906"/>
    <n v="105.37624512671999"/>
    <n v="113.409296817669"/>
    <n v="5999181.6999998903"/>
    <n v="6452070.1527000396"/>
    <n v="9836187"/>
    <n v="20155744"/>
    <n v="251696073.395991"/>
    <n v="13706"/>
    <n v="10226"/>
    <n v="8280"/>
    <n v="6291"/>
    <n v="4146"/>
    <x v="1"/>
  </r>
  <r>
    <x v="1"/>
    <n v="25101804"/>
    <n v="112646"/>
    <x v="1"/>
    <x v="3"/>
    <n v="15418719.9762333"/>
    <n v="16158556.191597899"/>
    <n v="14587994.6342158"/>
    <n v="15509609.102886099"/>
    <n v="143.445450274292"/>
    <n v="129.502997303196"/>
    <n v="137.684508130658"/>
    <n v="5137024.8599999296"/>
    <n v="5909784.37090002"/>
    <n v="8732138"/>
    <n v="16392054"/>
    <n v="219974483.88572401"/>
    <n v="8232"/>
    <n v="6307"/>
    <n v="5171"/>
    <n v="3955"/>
    <n v="2641"/>
    <x v="2"/>
  </r>
  <r>
    <x v="1"/>
    <n v="25101804"/>
    <n v="146279"/>
    <x v="1"/>
    <x v="4"/>
    <n v="25274790.040201299"/>
    <n v="26526512.790506899"/>
    <n v="24101781.795765702"/>
    <n v="25196075.534331299"/>
    <n v="181.34190683903299"/>
    <n v="164.76583648894001"/>
    <n v="172.24670345252099"/>
    <n v="8205782.04999993"/>
    <n v="9849907.6326999702"/>
    <n v="14551967"/>
    <n v="24148350"/>
    <n v="350775285.21985698"/>
    <n v="9069"/>
    <n v="6934"/>
    <n v="5661"/>
    <n v="4403"/>
    <n v="2997"/>
    <x v="2"/>
  </r>
  <r>
    <x v="1"/>
    <n v="25101804"/>
    <n v="145187"/>
    <x v="1"/>
    <x v="5"/>
    <n v="35249113.9040334"/>
    <n v="37215569.3059135"/>
    <n v="33762814.925894402"/>
    <n v="34768957.480292"/>
    <n v="256.32852325561799"/>
    <n v="232.54709392641499"/>
    <n v="239.477070814136"/>
    <n v="11096396.210000001"/>
    <n v="14245397.392699899"/>
    <n v="20387102"/>
    <n v="28400180"/>
    <n v="471037900.50402403"/>
    <n v="6677"/>
    <n v="5175"/>
    <n v="4232"/>
    <n v="3348"/>
    <n v="2285"/>
    <x v="2"/>
  </r>
  <r>
    <x v="1"/>
    <n v="25101804"/>
    <n v="529896"/>
    <x v="1"/>
    <x v="6"/>
    <n v="19317514.189553101"/>
    <n v="18937716.401692301"/>
    <n v="17048799.002017401"/>
    <n v="21966027.164950602"/>
    <n v="35.738553228732201"/>
    <n v="32.173858647767503"/>
    <n v="41.453468539016399"/>
    <n v="7305738.3599990699"/>
    <n v="5650721.5209001396"/>
    <n v="12004290"/>
    <n v="33049432"/>
    <n v="294577107.76830697"/>
    <n v="129956"/>
    <n v="98558"/>
    <n v="79332"/>
    <n v="52565"/>
    <n v="30129"/>
    <x v="1"/>
  </r>
  <r>
    <x v="1"/>
    <n v="25101804"/>
    <n v="102732"/>
    <x v="1"/>
    <x v="7"/>
    <n v="39017864.390001602"/>
    <n v="41469085.307389498"/>
    <n v="37591798.517113902"/>
    <n v="37992709.345501304"/>
    <n v="403.66278576674699"/>
    <n v="365.92102282749198"/>
    <n v="369.82351502454202"/>
    <n v="11800309.5499999"/>
    <n v="16720353.2735999"/>
    <n v="22444292"/>
    <n v="24984229"/>
    <n v="470026470.28268301"/>
    <n v="3293"/>
    <n v="2602"/>
    <n v="2198"/>
    <n v="1805"/>
    <n v="1238"/>
    <x v="3"/>
  </r>
  <r>
    <x v="1"/>
    <n v="25101804"/>
    <n v="336615"/>
    <x v="1"/>
    <x v="8"/>
    <n v="20743554.083507501"/>
    <n v="21135892.692973301"/>
    <n v="19010516.108410899"/>
    <n v="22084253.4491391"/>
    <n v="62.789515300783698"/>
    <n v="56.475546569258597"/>
    <n v="65.606860802813799"/>
    <n v="7589123.9999996601"/>
    <n v="7032451.8709000796"/>
    <n v="11908838"/>
    <n v="29686515"/>
    <n v="310305164.04812598"/>
    <n v="51369"/>
    <n v="38296"/>
    <n v="30985"/>
    <n v="22219"/>
    <n v="13616"/>
    <x v="1"/>
  </r>
  <r>
    <x v="1"/>
    <n v="25101804"/>
    <n v="226003"/>
    <x v="1"/>
    <x v="9"/>
    <n v="19603184.2942864"/>
    <n v="20307922.948079299"/>
    <n v="18287840.6213479"/>
    <n v="20213789.313432399"/>
    <n v="89.856873351589897"/>
    <n v="80.9185746266552"/>
    <n v="89.440358373262498"/>
    <n v="6947857.6699997904"/>
    <n v="7068234.1309000598"/>
    <n v="11037522"/>
    <n v="24812984"/>
    <n v="288639482.30984598"/>
    <n v="25069"/>
    <n v="18682"/>
    <n v="15139"/>
    <n v="11287"/>
    <n v="7184"/>
    <x v="1"/>
  </r>
  <r>
    <x v="1"/>
    <n v="25101804"/>
    <n v="65366"/>
    <x v="1"/>
    <x v="10"/>
    <n v="52843113.612083502"/>
    <n v="57004053.8908609"/>
    <n v="51333272.970946804"/>
    <n v="50192013.9744431"/>
    <n v="872.07499144602502"/>
    <n v="785.32070144948204"/>
    <n v="767.86118126308895"/>
    <n v="16912323.329999998"/>
    <n v="26298487.7517999"/>
    <n v="25641629"/>
    <n v="22321201"/>
    <n v="589925238.70904398"/>
    <n v="1261"/>
    <n v="1013"/>
    <n v="860"/>
    <n v="735"/>
    <n v="515"/>
    <x v="3"/>
  </r>
  <r>
    <x v="1"/>
    <n v="25101804"/>
    <n v="17352"/>
    <x v="1"/>
    <x v="11"/>
    <n v="-75676.638418554794"/>
    <n v="-90736.106242038906"/>
    <n v="-74660.418943318393"/>
    <n v="-61633.390070306799"/>
    <n v="-5.2291439742991503"/>
    <n v="-4.3026981871437497"/>
    <n v="-3.5519473300084599"/>
    <n v="16116.9199999999"/>
    <n v="6550.2599999999902"/>
    <n v="25230"/>
    <n v="87075"/>
    <n v="980457653.00969195"/>
    <n v="6871"/>
    <n v="6133"/>
    <n v="5161"/>
    <n v="3640"/>
    <n v="2731"/>
    <x v="0"/>
  </r>
  <r>
    <x v="1"/>
    <n v="25101804"/>
    <n v="1507548"/>
    <x v="2"/>
    <x v="0"/>
    <n v="4121382.7797126002"/>
    <n v="2616302.45345846"/>
    <n v="2844511.0906713801"/>
    <n v="6903334.7950129705"/>
    <n v="1.73546875685448"/>
    <n v="1.8868461174512301"/>
    <n v="4.5791807590955402"/>
    <n v="1098105.6399999801"/>
    <n v="583920.69999999099"/>
    <n v="1838029"/>
    <n v="10739840"/>
    <n v="875101652.24914598"/>
    <n v="1243758"/>
    <n v="1142595"/>
    <n v="958021"/>
    <n v="467994"/>
    <n v="225223"/>
    <x v="0"/>
  </r>
  <r>
    <x v="1"/>
    <n v="25101804"/>
    <n v="614621"/>
    <x v="2"/>
    <x v="1"/>
    <n v="9977747.5749510191"/>
    <n v="7530256.3866906902"/>
    <n v="7663233.5101099703"/>
    <n v="14739752.828056"/>
    <n v="12.251869667145501"/>
    <n v="12.468225963821499"/>
    <n v="23.981856832187599"/>
    <n v="3166993.8599997298"/>
    <n v="1996566.5400000501"/>
    <n v="5586779"/>
    <n v="11067928"/>
    <n v="165169691.74239299"/>
    <n v="378802"/>
    <n v="333195"/>
    <n v="293995"/>
    <n v="163592"/>
    <n v="82147"/>
    <x v="0"/>
  </r>
  <r>
    <x v="1"/>
    <n v="25101804"/>
    <n v="105059"/>
    <x v="2"/>
    <x v="2"/>
    <n v="11732114.7221989"/>
    <n v="11674179.720223401"/>
    <n v="11463716.007262699"/>
    <n v="12058448.439110899"/>
    <n v="111.12022501854599"/>
    <n v="109.116934363193"/>
    <n v="114.777871854015"/>
    <n v="4538023.2199999504"/>
    <n v="3835915.53180002"/>
    <n v="7748954"/>
    <n v="10169240"/>
    <n v="196704567.588294"/>
    <n v="20728"/>
    <n v="17313"/>
    <n v="15280"/>
    <n v="11974"/>
    <n v="7689"/>
    <x v="1"/>
  </r>
  <r>
    <x v="1"/>
    <n v="25101804"/>
    <n v="71831"/>
    <x v="2"/>
    <x v="3"/>
    <n v="9819551.4983255696"/>
    <n v="9874549.3905121796"/>
    <n v="9644909.0641689505"/>
    <n v="9939196.0402956791"/>
    <n v="137.46919005042599"/>
    <n v="134.272237114462"/>
    <n v="138.369172645455"/>
    <n v="3758860.4899999802"/>
    <n v="3324744.9208999998"/>
    <n v="6546095"/>
    <n v="7942157"/>
    <n v="163943943.69787699"/>
    <n v="12516"/>
    <n v="10535"/>
    <n v="9316"/>
    <n v="7426"/>
    <n v="4805"/>
    <x v="2"/>
  </r>
  <r>
    <x v="1"/>
    <n v="25101804"/>
    <n v="86460"/>
    <x v="2"/>
    <x v="4"/>
    <n v="14899293.001501599"/>
    <n v="15154812.385050301"/>
    <n v="14727250.2125891"/>
    <n v="14815816.406865399"/>
    <n v="175.28119806905201"/>
    <n v="170.33599598183099"/>
    <n v="171.360356313502"/>
    <n v="5685558.30999994"/>
    <n v="5222686.6718000202"/>
    <n v="9998789"/>
    <n v="11261422"/>
    <n v="244238167.55989701"/>
    <n v="13131"/>
    <n v="11128"/>
    <n v="9858"/>
    <n v="7981"/>
    <n v="5176"/>
    <x v="2"/>
  </r>
  <r>
    <x v="1"/>
    <n v="25101804"/>
    <n v="77229"/>
    <x v="2"/>
    <x v="5"/>
    <n v="18679960.556717198"/>
    <n v="19269848.913803399"/>
    <n v="18582135.130031899"/>
    <n v="18187897.626316499"/>
    <n v="249.515711893245"/>
    <n v="240.61084735050099"/>
    <n v="235.50606153538899"/>
    <n v="7025088.4399999399"/>
    <n v="6799969.6009000205"/>
    <n v="12460812"/>
    <n v="12339268"/>
    <n v="305263839.43024403"/>
    <n v="9658"/>
    <n v="8255"/>
    <n v="7322"/>
    <n v="6063"/>
    <n v="4043"/>
    <x v="2"/>
  </r>
  <r>
    <x v="1"/>
    <n v="25101804"/>
    <n v="488593"/>
    <x v="2"/>
    <x v="6"/>
    <n v="17634630.519515298"/>
    <n v="15527588.532620501"/>
    <n v="15543680.8185341"/>
    <n v="21832622.2073934"/>
    <n v="31.780210794302199"/>
    <n v="31.8131467674202"/>
    <n v="44.684680720750102"/>
    <n v="6439769.6599992001"/>
    <n v="4581435.4200001303"/>
    <n v="10512131"/>
    <n v="18743322"/>
    <n v="295512278.18505001"/>
    <n v="204076"/>
    <n v="172594"/>
    <n v="151069"/>
    <n v="101091"/>
    <n v="55337"/>
    <x v="1"/>
  </r>
  <r>
    <x v="1"/>
    <n v="25101804"/>
    <n v="47741"/>
    <x v="2"/>
    <x v="7"/>
    <n v="18015741.003067501"/>
    <n v="18963725.999946501"/>
    <n v="17974143.1487986"/>
    <n v="17109353.860457301"/>
    <n v="397.22096311234702"/>
    <n v="376.49280804337201"/>
    <n v="358.37862341503899"/>
    <n v="6773846.25999997"/>
    <n v="7213027.0226999996"/>
    <n v="11388073"/>
    <n v="10093420"/>
    <n v="275609650.32801503"/>
    <n v="4608"/>
    <n v="3960"/>
    <n v="3560"/>
    <n v="3019"/>
    <n v="2014"/>
    <x v="3"/>
  </r>
  <r>
    <x v="1"/>
    <n v="25101804"/>
    <n v="267233"/>
    <x v="2"/>
    <x v="8"/>
    <n v="16416833.051118299"/>
    <n v="15472272.5863834"/>
    <n v="15314282.792427801"/>
    <n v="18463943.774544299"/>
    <n v="57.898061191482498"/>
    <n v="57.306855038217002"/>
    <n v="69.093052783691903"/>
    <n v="6231939.8799996497"/>
    <n v="4869915.5900000604"/>
    <n v="10102278"/>
    <n v="16063757"/>
    <n v="276550241.12220502"/>
    <n v="78917"/>
    <n v="66087"/>
    <n v="58017"/>
    <n v="42354"/>
    <n v="25052"/>
    <x v="1"/>
  </r>
  <r>
    <x v="1"/>
    <n v="25101804"/>
    <n v="162831"/>
    <x v="2"/>
    <x v="9"/>
    <n v="14089218.5855806"/>
    <n v="13716899.853912899"/>
    <n v="13577944.7565448"/>
    <n v="14972811.1462842"/>
    <n v="84.240100803366502"/>
    <n v="83.386730761002696"/>
    <n v="91.953074944477905"/>
    <n v="5410684.5199998599"/>
    <n v="4472262.3900000304"/>
    <n v="8940167"/>
    <n v="12938156"/>
    <n v="236824735.15547401"/>
    <n v="38220"/>
    <n v="32028"/>
    <n v="28063"/>
    <n v="21470"/>
    <n v="13344"/>
    <x v="1"/>
  </r>
  <r>
    <x v="1"/>
    <n v="25101804"/>
    <n v="25136"/>
    <x v="2"/>
    <x v="10"/>
    <n v="19758634.281327099"/>
    <n v="21009992.249722"/>
    <n v="19779503.593159601"/>
    <n v="18486407.001099799"/>
    <n v="835.85265156437197"/>
    <n v="786.89941093092204"/>
    <n v="735.45540265355601"/>
    <n v="7502162.0399999898"/>
    <n v="9372468.7399999909"/>
    <n v="10475857"/>
    <n v="8585258"/>
    <n v="280132143.77862197"/>
    <n v="1563"/>
    <n v="1386"/>
    <n v="1233"/>
    <n v="1055"/>
    <n v="719"/>
    <x v="3"/>
  </r>
  <r>
    <x v="1"/>
    <n v="25101804"/>
    <n v="27506"/>
    <x v="2"/>
    <x v="11"/>
    <n v="-130777.39978224901"/>
    <n v="-151665.669757533"/>
    <n v="-144185.88984045701"/>
    <n v="-96480.639748760499"/>
    <n v="-5.5139122285149798"/>
    <n v="-5.2419795622939596"/>
    <n v="-3.5076216006965901"/>
    <n v="25936.159999999902"/>
    <n v="5773.8099999999904"/>
    <n v="187121"/>
    <n v="853269"/>
    <n v="1367304351.8338799"/>
    <n v="14066"/>
    <n v="12834"/>
    <n v="10387"/>
    <n v="6398"/>
    <n v="4287"/>
    <x v="0"/>
  </r>
  <r>
    <x v="1"/>
    <n v="25101804"/>
    <n v="806206"/>
    <x v="3"/>
    <x v="0"/>
    <n v="2355622.0896818899"/>
    <n v="1621328.20836789"/>
    <n v="1765201.8617275199"/>
    <n v="3680336.19895051"/>
    <n v="2.0110594666473398"/>
    <n v="2.18951714788468"/>
    <n v="4.5650072052930799"/>
    <n v="648950.29000001599"/>
    <n v="307774.03999999899"/>
    <n v="1140885"/>
    <n v="6357197"/>
    <n v="423229519.656555"/>
    <n v="625407"/>
    <n v="558741"/>
    <n v="478248"/>
    <n v="258758"/>
    <n v="130268"/>
    <x v="0"/>
  </r>
  <r>
    <x v="1"/>
    <n v="25101804"/>
    <n v="363628"/>
    <x v="3"/>
    <x v="1"/>
    <n v="6026156.4428485604"/>
    <n v="4848002.7357519204"/>
    <n v="4854173.1380892396"/>
    <n v="8376293.45470565"/>
    <n v="13.3323141665436"/>
    <n v="13.3492831632581"/>
    <n v="23.0353368131872"/>
    <n v="1908417.2599999199"/>
    <n v="1265915.3000000101"/>
    <n v="3755960"/>
    <n v="8999658"/>
    <n v="104445800.469386"/>
    <n v="193433"/>
    <n v="162022"/>
    <n v="138053"/>
    <n v="84819"/>
    <n v="43934"/>
    <x v="0"/>
  </r>
  <r>
    <x v="1"/>
    <n v="25101804"/>
    <n v="71432"/>
    <x v="3"/>
    <x v="2"/>
    <n v="7972369.4728136603"/>
    <n v="8067766.3055058904"/>
    <n v="7589955.0051950105"/>
    <n v="8259387.1077402001"/>
    <n v="112.943306998346"/>
    <n v="106.254269867776"/>
    <n v="115.625869466628"/>
    <n v="2772630.4199999799"/>
    <n v="2735727.9600000102"/>
    <n v="5579679"/>
    <n v="7800364"/>
    <n v="137316881.32407299"/>
    <n v="10717"/>
    <n v="8633"/>
    <n v="7363"/>
    <n v="5791"/>
    <n v="3803"/>
    <x v="1"/>
  </r>
  <r>
    <x v="1"/>
    <n v="25101804"/>
    <n v="48739"/>
    <x v="3"/>
    <x v="3"/>
    <n v="6663923.6765936697"/>
    <n v="6804173.7200047597"/>
    <n v="6370865.5957100103"/>
    <n v="6816731.71406624"/>
    <n v="139.60429471275"/>
    <n v="130.71391689837699"/>
    <n v="139.86195272915401"/>
    <n v="2279785.3299999898"/>
    <n v="2342609.9509000001"/>
    <n v="4849212"/>
    <n v="5965497"/>
    <n v="114201954.945888"/>
    <n v="6332"/>
    <n v="5119"/>
    <n v="4406"/>
    <n v="3588"/>
    <n v="2383"/>
    <x v="2"/>
  </r>
  <r>
    <x v="1"/>
    <n v="25101804"/>
    <n v="59495"/>
    <x v="3"/>
    <x v="4"/>
    <n v="10259304.699689301"/>
    <n v="10543483.416632"/>
    <n v="9883601.9564869292"/>
    <n v="10350828.725949001"/>
    <n v="177.216294085756"/>
    <n v="166.124917328967"/>
    <n v="173.97812800989999"/>
    <n v="3468973.8599999798"/>
    <n v="3715065.38090001"/>
    <n v="7452037"/>
    <n v="8406146"/>
    <n v="173261165.935316"/>
    <n v="6744"/>
    <n v="5499"/>
    <n v="4736"/>
    <n v="3841"/>
    <n v="2588"/>
    <x v="2"/>
  </r>
  <r>
    <x v="1"/>
    <n v="25101804"/>
    <n v="54199"/>
    <x v="3"/>
    <x v="5"/>
    <n v="13116592.925536999"/>
    <n v="13650808.289798601"/>
    <n v="12733403.559448"/>
    <n v="12965566.9273644"/>
    <n v="251.864578494044"/>
    <n v="234.937979657337"/>
    <n v="239.221515661994"/>
    <n v="4360077.2599999802"/>
    <n v="4951043.2545000101"/>
    <n v="9635280"/>
    <n v="9328970"/>
    <n v="214541945.91080999"/>
    <n v="4742"/>
    <n v="3928"/>
    <n v="3390"/>
    <n v="2833"/>
    <n v="1930"/>
    <x v="2"/>
  </r>
  <r>
    <x v="1"/>
    <n v="25101804"/>
    <n v="320583"/>
    <x v="3"/>
    <x v="6"/>
    <n v="11598834.219929799"/>
    <n v="10545930.275705799"/>
    <n v="10157356.711237799"/>
    <n v="14093215.6728465"/>
    <n v="32.896099530249202"/>
    <n v="31.684015407048399"/>
    <n v="43.961207153362999"/>
    <n v="4004563.6199998301"/>
    <n v="3207469.2600000701"/>
    <n v="7247574"/>
    <n v="14612561"/>
    <n v="196314842.22760201"/>
    <n v="112737"/>
    <n v="91246"/>
    <n v="77520"/>
    <n v="53374"/>
    <n v="30218"/>
    <x v="1"/>
  </r>
  <r>
    <x v="1"/>
    <n v="25101804"/>
    <n v="34275"/>
    <x v="3"/>
    <x v="7"/>
    <n v="12958498.7680234"/>
    <n v="13664916.8932113"/>
    <n v="12650872.7007991"/>
    <n v="12559706.710059701"/>
    <n v="398.68466500981299"/>
    <n v="369.09913058494999"/>
    <n v="366.43929132194802"/>
    <n v="4248987.4499999797"/>
    <n v="5296661.07"/>
    <n v="8713849"/>
    <n v="7532088"/>
    <n v="195610509.526889"/>
    <n v="2298"/>
    <n v="1941"/>
    <n v="1692"/>
    <n v="1438"/>
    <n v="1017"/>
    <x v="3"/>
  </r>
  <r>
    <x v="1"/>
    <n v="25101804"/>
    <n v="180858"/>
    <x v="3"/>
    <x v="8"/>
    <n v="11106424.674920199"/>
    <n v="10779108.1968707"/>
    <n v="10196878.4998089"/>
    <n v="12343287.3280812"/>
    <n v="59.599841847586198"/>
    <n v="56.380577579144898"/>
    <n v="68.2485006363069"/>
    <n v="3921762.9799999199"/>
    <n v="3469942.49000003"/>
    <n v="7108422"/>
    <n v="12554783"/>
    <n v="190993537.29312199"/>
    <n v="42740"/>
    <n v="34169"/>
    <n v="29120"/>
    <n v="21889"/>
    <n v="13320"/>
    <x v="1"/>
  </r>
  <r>
    <x v="1"/>
    <n v="25101804"/>
    <n v="110551"/>
    <x v="3"/>
    <x v="9"/>
    <n v="9566983.2978678606"/>
    <n v="9522965.3231947105"/>
    <n v="8984187.79333633"/>
    <n v="10193796.7770725"/>
    <n v="86.140924308189994"/>
    <n v="81.267358896222802"/>
    <n v="92.208996545237596"/>
    <n v="3371482.3599999598"/>
    <n v="3171160.34090001"/>
    <n v="6302003"/>
    <n v="9869711"/>
    <n v="165498265.884794"/>
    <n v="20290"/>
    <n v="16354"/>
    <n v="13977"/>
    <n v="10823"/>
    <n v="6907"/>
    <x v="1"/>
  </r>
  <r>
    <x v="1"/>
    <n v="25101804"/>
    <n v="19406"/>
    <x v="3"/>
    <x v="10"/>
    <n v="15419163.262192"/>
    <n v="16523056.1480463"/>
    <n v="15263001.8606571"/>
    <n v="14471431.777872499"/>
    <n v="851.44059301485595"/>
    <n v="786.50942289277202"/>
    <n v="745.71945675938105"/>
    <n v="5119970.7599999802"/>
    <n v="7726981.1200000104"/>
    <n v="8090357"/>
    <n v="6121967"/>
    <n v="218152857.436158"/>
    <n v="792"/>
    <n v="667"/>
    <n v="591"/>
    <n v="503"/>
    <n v="348"/>
    <x v="3"/>
  </r>
  <r>
    <x v="1"/>
    <n v="25101804"/>
    <n v="13951"/>
    <x v="3"/>
    <x v="11"/>
    <n v="-174369.90426032199"/>
    <n v="-206026.04089203401"/>
    <n v="-176100.091977542"/>
    <n v="-140983.57991138901"/>
    <n v="-14.767833194182"/>
    <n v="-12.622757650171501"/>
    <n v="-10.1056253968453"/>
    <n v="15116.59"/>
    <n v="4091.9099999999899"/>
    <n v="1454283"/>
    <n v="222286"/>
    <n v="470820884.66599798"/>
    <n v="5786"/>
    <n v="5046"/>
    <n v="4227"/>
    <n v="2827"/>
    <n v="1927"/>
    <x v="0"/>
  </r>
  <r>
    <x v="1"/>
    <n v="25101804"/>
    <n v="519267"/>
    <x v="4"/>
    <x v="0"/>
    <n v="1489727.49952256"/>
    <n v="1178685.39281664"/>
    <n v="1141096.05372801"/>
    <n v="2149401.0520228599"/>
    <n v="2.2699023677927599"/>
    <n v="2.1975131362632498"/>
    <n v="4.1392983802607599"/>
    <n v="406149.11000000901"/>
    <n v="201644.78"/>
    <n v="818878"/>
    <n v="4869341"/>
    <n v="556045970.85581601"/>
    <n v="377224"/>
    <n v="334948"/>
    <n v="285716"/>
    <n v="158203"/>
    <n v="82649"/>
    <x v="0"/>
  </r>
  <r>
    <x v="1"/>
    <n v="25101804"/>
    <n v="231646"/>
    <x v="4"/>
    <x v="1"/>
    <n v="3862921.1911404198"/>
    <n v="3315513.4765437702"/>
    <n v="3155164.5878517199"/>
    <n v="5118085.5090260599"/>
    <n v="14.312845792907099"/>
    <n v="13.6206305649643"/>
    <n v="22.0944264482272"/>
    <n v="1268952.48999998"/>
    <n v="869585.95999999798"/>
    <n v="2723464"/>
    <n v="6602568"/>
    <n v="79054369.506296098"/>
    <n v="113101"/>
    <n v="93441"/>
    <n v="78327"/>
    <n v="47749"/>
    <n v="25249"/>
    <x v="0"/>
  </r>
  <r>
    <x v="1"/>
    <n v="25101804"/>
    <n v="53872"/>
    <x v="4"/>
    <x v="2"/>
    <n v="6017965.48637369"/>
    <n v="6307554.86490288"/>
    <n v="5767571.9966128198"/>
    <n v="5978769.5976053998"/>
    <n v="117.08410426386401"/>
    <n v="107.06066224778699"/>
    <n v="110.981021636572"/>
    <n v="2045281.3499999801"/>
    <n v="2102530.64"/>
    <n v="4235900"/>
    <n v="6197370"/>
    <n v="116807438.681191"/>
    <n v="6466"/>
    <n v="5097"/>
    <n v="4299"/>
    <n v="3372"/>
    <n v="2276"/>
    <x v="1"/>
  </r>
  <r>
    <x v="1"/>
    <n v="25101804"/>
    <n v="36892"/>
    <x v="4"/>
    <x v="3"/>
    <n v="5046420.3267866801"/>
    <n v="5304060.5571080297"/>
    <n v="4865121.5783259999"/>
    <n v="4970078.8449260201"/>
    <n v="143.77264873435999"/>
    <n v="131.87470395549099"/>
    <n v="134.719691123442"/>
    <n v="1691991.1099999901"/>
    <n v="1796761.67"/>
    <n v="3574036"/>
    <n v="4807048"/>
    <n v="95684633.470836595"/>
    <n v="3794"/>
    <n v="2977"/>
    <n v="2478"/>
    <n v="1999"/>
    <n v="1337"/>
    <x v="2"/>
  </r>
  <r>
    <x v="1"/>
    <n v="25101804"/>
    <n v="45753"/>
    <x v="4"/>
    <x v="4"/>
    <n v="7888725.7740904102"/>
    <n v="8353576.5168140298"/>
    <n v="7635974.3381818198"/>
    <n v="7676626.46727541"/>
    <n v="182.57986398299599"/>
    <n v="166.895598937377"/>
    <n v="167.78411180196699"/>
    <n v="2569663.8499999801"/>
    <n v="2903325.1508999998"/>
    <n v="5624373"/>
    <n v="6943702"/>
    <n v="148909736.44256601"/>
    <n v="3997"/>
    <n v="3194"/>
    <n v="2685"/>
    <n v="2181"/>
    <n v="1486"/>
    <x v="2"/>
  </r>
  <r>
    <x v="1"/>
    <n v="25101804"/>
    <n v="42237"/>
    <x v="4"/>
    <x v="5"/>
    <n v="10223160.6582091"/>
    <n v="10831239.1271143"/>
    <n v="9984722.9606715497"/>
    <n v="9853519.8868415095"/>
    <n v="256.43959388958302"/>
    <n v="236.39754150795599"/>
    <n v="233.29118750956499"/>
    <n v="3221178.8399999901"/>
    <n v="3902432.42"/>
    <n v="7341557"/>
    <n v="7680933"/>
    <n v="182021617.26396599"/>
    <n v="2909"/>
    <n v="2359"/>
    <n v="1990"/>
    <n v="1620"/>
    <n v="1141"/>
    <x v="2"/>
  </r>
  <r>
    <x v="1"/>
    <n v="25101804"/>
    <n v="218795"/>
    <x v="4"/>
    <x v="6"/>
    <n v="7950724.5131965997"/>
    <n v="7641445.6974758198"/>
    <n v="7093727.6540702796"/>
    <n v="9117000.1880439799"/>
    <n v="34.9251385885226"/>
    <n v="32.421799648393602"/>
    <n v="41.6691432073127"/>
    <n v="2838953.7299999301"/>
    <n v="2270543.2000000202"/>
    <n v="5322051"/>
    <n v="11103349"/>
    <n v="154458208.40478501"/>
    <n v="66747"/>
    <n v="52840"/>
    <n v="43963"/>
    <n v="30374"/>
    <n v="17442"/>
    <x v="1"/>
  </r>
  <r>
    <x v="1"/>
    <n v="25101804"/>
    <n v="27042"/>
    <x v="4"/>
    <x v="7"/>
    <n v="10216782.901017301"/>
    <n v="10860730.353488499"/>
    <n v="10014450.667296199"/>
    <n v="9775167.6822674293"/>
    <n v="401.62452309328199"/>
    <n v="370.32951214023501"/>
    <n v="361.48094380102901"/>
    <n v="3135129.4599999902"/>
    <n v="4237208.1709000003"/>
    <n v="6887301"/>
    <n v="6074813"/>
    <n v="159510577.18158099"/>
    <n v="1380"/>
    <n v="1117"/>
    <n v="943"/>
    <n v="804"/>
    <n v="550"/>
    <x v="3"/>
  </r>
  <r>
    <x v="1"/>
    <n v="25101804"/>
    <n v="130875"/>
    <x v="4"/>
    <x v="8"/>
    <n v="8044738.2162216501"/>
    <n v="8150145.72872095"/>
    <n v="7487689.3095636796"/>
    <n v="8496379.6103803702"/>
    <n v="62.274274909042603"/>
    <n v="57.212525765529499"/>
    <n v="64.919806000996203"/>
    <n v="2876074.5799999498"/>
    <n v="2564294.2300000102"/>
    <n v="5328323"/>
    <n v="9831542"/>
    <n v="157430057.00224501"/>
    <n v="25646"/>
    <n v="20031"/>
    <n v="16695"/>
    <n v="12441"/>
    <n v="7697"/>
    <x v="1"/>
  </r>
  <r>
    <x v="1"/>
    <n v="25101804"/>
    <n v="81038"/>
    <x v="4"/>
    <x v="9"/>
    <n v="7014537.9543911004"/>
    <n v="7262150.3549265703"/>
    <n v="6642951.2916317796"/>
    <n v="7138512.2166150203"/>
    <n v="89.614136021700602"/>
    <n v="81.973287737009599"/>
    <n v="88.088455004010697"/>
    <n v="2455785.5999999698"/>
    <n v="2376353.7917999998"/>
    <n v="4789019"/>
    <n v="7905591"/>
    <n v="135638407.566811"/>
    <n v="11976"/>
    <n v="9431"/>
    <n v="7940"/>
    <n v="6155"/>
    <n v="3969"/>
    <x v="1"/>
  </r>
  <r>
    <x v="1"/>
    <n v="25101804"/>
    <n v="15769"/>
    <x v="4"/>
    <x v="10"/>
    <n v="12618804.646713501"/>
    <n v="13608147.516070601"/>
    <n v="12464911.1356372"/>
    <n v="11783355.288432701"/>
    <n v="862.968324945821"/>
    <n v="790.46934717720001"/>
    <n v="747.24809997037198"/>
    <n v="3880020.5599999898"/>
    <n v="6521557.5909000002"/>
    <n v="6468324"/>
    <n v="5021139"/>
    <n v="177862802.089836"/>
    <n v="513"/>
    <n v="416"/>
    <n v="361"/>
    <n v="307"/>
    <n v="218"/>
    <x v="3"/>
  </r>
  <r>
    <x v="1"/>
    <n v="25101804"/>
    <n v="13175"/>
    <x v="4"/>
    <x v="11"/>
    <n v="-83854.802473689095"/>
    <n v="-69564.8130020471"/>
    <n v="-95592.840448214702"/>
    <n v="-86406.753970805396"/>
    <n v="-5.2800617079352596"/>
    <n v="-7.2556235634318504"/>
    <n v="-6.5583873981635898"/>
    <n v="10161.049999999999"/>
    <n v="5232.1899999999996"/>
    <n v="59237"/>
    <n v="49127"/>
    <n v="738281714.58378196"/>
    <n v="4692"/>
    <n v="4261"/>
    <n v="3690"/>
    <n v="2638"/>
    <n v="1991"/>
    <x v="0"/>
  </r>
  <r>
    <x v="1"/>
    <n v="25101804"/>
    <n v="1486929"/>
    <x v="5"/>
    <x v="0"/>
    <n v="5035099.0955808898"/>
    <n v="4711457.9554786002"/>
    <n v="4180101.2409184398"/>
    <n v="6213738.0903482595"/>
    <n v="3.1685830026037598"/>
    <n v="2.8112312295465598"/>
    <n v="4.1789070563209503"/>
    <n v="1911790.3104999501"/>
    <n v="435799.91669999302"/>
    <n v="2743971"/>
    <n v="41898754"/>
    <n v="153193721.30061701"/>
    <n v="756689"/>
    <n v="593361"/>
    <n v="458250"/>
    <n v="254033"/>
    <n v="136309"/>
    <x v="0"/>
  </r>
  <r>
    <x v="1"/>
    <n v="25101804"/>
    <n v="1020153"/>
    <x v="5"/>
    <x v="1"/>
    <n v="17446342.177241001"/>
    <n v="17227179.787014801"/>
    <n v="14747897.0281338"/>
    <n v="20363949.716575202"/>
    <n v="16.8868589192159"/>
    <n v="14.4565540934877"/>
    <n v="19.961662335527301"/>
    <n v="8901155.1918992102"/>
    <n v="2433332.9072000799"/>
    <n v="14265721"/>
    <n v="64615801"/>
    <n v="212240936.03186801"/>
    <n v="223394"/>
    <n v="152008"/>
    <n v="111458"/>
    <n v="63798"/>
    <n v="33095"/>
    <x v="0"/>
  </r>
  <r>
    <x v="1"/>
    <n v="25101804"/>
    <n v="569382"/>
    <x v="5"/>
    <x v="2"/>
    <n v="63764349.321721204"/>
    <n v="66940309.194116898"/>
    <n v="58936955.243745901"/>
    <n v="65415783.5273012"/>
    <n v="117.56660588869499"/>
    <n v="103.510394153215"/>
    <n v="114.88909647179"/>
    <n v="30373395.772700202"/>
    <n v="17392368.804399598"/>
    <n v="50749460"/>
    <n v="100768269"/>
    <n v="600540098.01665699"/>
    <n v="18612"/>
    <n v="12588"/>
    <n v="9459"/>
    <n v="6799"/>
    <n v="4249"/>
    <x v="1"/>
  </r>
  <r>
    <x v="1"/>
    <n v="25101804"/>
    <n v="451289"/>
    <x v="5"/>
    <x v="3"/>
    <n v="61834862.105666503"/>
    <n v="65113583.740151398"/>
    <n v="57506775.138112098"/>
    <n v="62884227.438736498"/>
    <n v="144.28356051255699"/>
    <n v="127.427823718531"/>
    <n v="139.343585681761"/>
    <n v="28581776.8743002"/>
    <n v="17838736.303199701"/>
    <n v="49497747"/>
    <n v="88680914"/>
    <n v="589630158.09325504"/>
    <n v="11838"/>
    <n v="8099"/>
    <n v="6140"/>
    <n v="4454"/>
    <n v="2751"/>
    <x v="2"/>
  </r>
  <r>
    <x v="1"/>
    <n v="25101804"/>
    <n v="657748"/>
    <x v="5"/>
    <x v="4"/>
    <n v="113985284.14642499"/>
    <n v="120542083.04047"/>
    <n v="106759505.97239199"/>
    <n v="114654263.426414"/>
    <n v="183.26484161178701"/>
    <n v="162.310650845601"/>
    <n v="174.313359259799"/>
    <n v="51019354.343300901"/>
    <n v="34985084.698299304"/>
    <n v="91992871"/>
    <n v="145546769"/>
    <n v="1090680250.32534"/>
    <n v="13288"/>
    <n v="9259"/>
    <n v="6982"/>
    <n v="5161"/>
    <n v="3203"/>
    <x v="2"/>
  </r>
  <r>
    <x v="1"/>
    <n v="25101804"/>
    <n v="766209"/>
    <x v="5"/>
    <x v="5"/>
    <n v="187181669.57221201"/>
    <n v="198760599.13328901"/>
    <n v="176979732.20733801"/>
    <n v="185804677.37600899"/>
    <n v="259.40781057556001"/>
    <n v="230.98101458914999"/>
    <n v="242.498688185612"/>
    <n v="79215928.368399993"/>
    <n v="63095998.826999001"/>
    <n v="150798791"/>
    <n v="202001537"/>
    <n v="1795577618.2078199"/>
    <n v="10691"/>
    <n v="7482"/>
    <n v="5676"/>
    <n v="4224"/>
    <n v="2697"/>
    <x v="2"/>
  </r>
  <r>
    <x v="1"/>
    <n v="25101804"/>
    <n v="1271742"/>
    <x v="5"/>
    <x v="6"/>
    <n v="46891097.679257102"/>
    <n v="47878270.350446001"/>
    <n v="41269253.534787796"/>
    <n v="51525769.152536698"/>
    <n v="37.647785754064898"/>
    <n v="32.450963744837999"/>
    <n v="40.515897998600799"/>
    <n v="25013065.815801501"/>
    <n v="8564343.4211999606"/>
    <n v="38925617"/>
    <n v="122234754"/>
    <n v="465636459.95267397"/>
    <n v="142416"/>
    <n v="94105"/>
    <n v="69418"/>
    <n v="43181"/>
    <n v="23451"/>
    <x v="1"/>
  </r>
  <r>
    <x v="1"/>
    <n v="25101804"/>
    <n v="642292"/>
    <x v="5"/>
    <x v="7"/>
    <n v="245427045.585886"/>
    <n v="262407511.991537"/>
    <n v="234154680.01126501"/>
    <n v="239718944.75485599"/>
    <n v="408.54862273162001"/>
    <n v="364.56110306724202"/>
    <n v="373.22424186329101"/>
    <n v="95652846.516900793"/>
    <n v="94160494.410500303"/>
    <n v="188024524"/>
    <n v="211882987"/>
    <n v="2319427618.14785"/>
    <n v="5659"/>
    <n v="4102"/>
    <n v="3156"/>
    <n v="2385"/>
    <n v="1574"/>
    <x v="3"/>
  </r>
  <r>
    <x v="1"/>
    <n v="25101804"/>
    <n v="954551"/>
    <x v="5"/>
    <x v="8"/>
    <n v="59112367.136041202"/>
    <n v="61361167.116570197"/>
    <n v="53358909.633641899"/>
    <n v="62617024.657911301"/>
    <n v="64.2827540032646"/>
    <n v="55.899485342995703"/>
    <n v="65.598406641354202"/>
    <n v="30455921.817800999"/>
    <n v="13345529.262199501"/>
    <n v="47455067"/>
    <n v="121982134"/>
    <n v="563838956.37056506"/>
    <n v="60637"/>
    <n v="40289"/>
    <n v="30073"/>
    <n v="20174"/>
    <n v="11441"/>
    <x v="1"/>
  </r>
  <r>
    <x v="1"/>
    <n v="25101804"/>
    <n v="730975"/>
    <x v="5"/>
    <x v="9"/>
    <n v="63575270.348105803"/>
    <n v="66543348.653693102"/>
    <n v="58266462.915729403"/>
    <n v="65915999.474894702"/>
    <n v="91.033686040826495"/>
    <n v="79.710609686691697"/>
    <n v="90.175449878442805"/>
    <n v="31462335.5768006"/>
    <n v="16112910.092899499"/>
    <n v="50519602"/>
    <n v="112630721"/>
    <n v="600279360.31760001"/>
    <n v="31785"/>
    <n v="21384"/>
    <n v="15980"/>
    <n v="11139"/>
    <n v="6529"/>
    <x v="1"/>
  </r>
  <r>
    <x v="1"/>
    <n v="25101804"/>
    <n v="471944"/>
    <x v="5"/>
    <x v="10"/>
    <n v="384672373.56719398"/>
    <n v="417196977.31672001"/>
    <n v="370897112.03685498"/>
    <n v="365923031.34799802"/>
    <n v="883.99678206888996"/>
    <n v="785.89220762814102"/>
    <n v="775.35265062803705"/>
    <n v="143683641.29789901"/>
    <n v="185905318.69389999"/>
    <n v="235563162"/>
    <n v="221047471"/>
    <n v="3666243222.2088199"/>
    <n v="2067"/>
    <n v="1498"/>
    <n v="1125"/>
    <n v="882"/>
    <n v="584"/>
    <x v="3"/>
  </r>
  <r>
    <x v="1"/>
    <n v="25101804"/>
    <n v="16153"/>
    <x v="5"/>
    <x v="11"/>
    <n v="-238708.37182445001"/>
    <n v="-281847.09724168503"/>
    <n v="-226870.52842946001"/>
    <n v="-207407.489802205"/>
    <n v="-17.448591422131098"/>
    <n v="-14.0451017414387"/>
    <n v="-12.840183854528799"/>
    <n v="98567.952999999907"/>
    <n v="19369.349999999999"/>
    <n v="152260"/>
    <n v="418196"/>
    <n v="3360846.8789453502"/>
    <n v="7211"/>
    <n v="6062"/>
    <n v="4819"/>
    <n v="3127"/>
    <n v="1978"/>
    <x v="0"/>
  </r>
  <r>
    <x v="2"/>
    <n v="24866757"/>
    <n v="3090305"/>
    <x v="0"/>
    <x v="0"/>
    <n v="7508578.7262776904"/>
    <n v="12811655.871401301"/>
    <n v="6590991.7589086201"/>
    <n v="3123088.5485509499"/>
    <n v="4.1457577395763003"/>
    <n v="2.1327965229673498"/>
    <n v="1.0106085155190001"/>
    <n v="6538204.9899944896"/>
    <n v="3068311.0100008198"/>
    <n v="8870109"/>
    <n v="15497069"/>
    <n v="1038441127.53813"/>
    <n v="2380917"/>
    <n v="2167884"/>
    <n v="2005323"/>
    <n v="1423906"/>
    <n v="0"/>
    <x v="0"/>
  </r>
  <r>
    <x v="2"/>
    <n v="24866757"/>
    <n v="1215367"/>
    <x v="0"/>
    <x v="1"/>
    <n v="17668521.8615539"/>
    <n v="27965740.581564698"/>
    <n v="16572148.5928452"/>
    <n v="8467676.4102714509"/>
    <n v="23.010120055559099"/>
    <n v="13.635509761944499"/>
    <n v="6.9671765074018399"/>
    <n v="11569070.5600024"/>
    <n v="7874999.5800005998"/>
    <n v="15900098"/>
    <n v="19684114"/>
    <n v="666784951.67289603"/>
    <n v="733711"/>
    <n v="665007"/>
    <n v="622559"/>
    <n v="458784"/>
    <n v="0"/>
    <x v="0"/>
  </r>
  <r>
    <x v="2"/>
    <n v="24866757"/>
    <n v="73394"/>
    <x v="0"/>
    <x v="2"/>
    <n v="8180512.8273417903"/>
    <n v="12559208.315112401"/>
    <n v="9014215.8620848097"/>
    <n v="2968114.3048283099"/>
    <n v="171.12036835589299"/>
    <n v="122.819520152666"/>
    <n v="40.440830378890801"/>
    <n v="5162758.29999993"/>
    <n v="3744558.4609000199"/>
    <n v="7438607"/>
    <n v="7502983"/>
    <n v="240117623.38959101"/>
    <n v="13852"/>
    <n v="11847"/>
    <n v="10552"/>
    <n v="9172"/>
    <n v="0"/>
    <x v="1"/>
  </r>
  <r>
    <x v="2"/>
    <n v="24866757"/>
    <n v="46769"/>
    <x v="0"/>
    <x v="3"/>
    <n v="6389108.3389386795"/>
    <n v="9710413.1322002094"/>
    <n v="7095337.2765311198"/>
    <n v="2361574.6080847499"/>
    <n v="207.62498946311001"/>
    <n v="151.71026270673099"/>
    <n v="50.494443073077399"/>
    <n v="3872358.74999998"/>
    <n v="3007234.87"/>
    <n v="5697010"/>
    <n v="5528277"/>
    <n v="183320504.12676901"/>
    <n v="8109"/>
    <n v="6933"/>
    <n v="6240"/>
    <n v="5432"/>
    <n v="0"/>
    <x v="2"/>
  </r>
  <r>
    <x v="2"/>
    <n v="24866757"/>
    <n v="52132"/>
    <x v="0"/>
    <x v="4"/>
    <n v="8958342.8723771591"/>
    <n v="13464892.5832735"/>
    <n v="10060386.474789901"/>
    <n v="3349749.55906806"/>
    <n v="258.28459647190903"/>
    <n v="192.97910064432401"/>
    <n v="64.255151520525999"/>
    <n v="5242872.9599999599"/>
    <n v="4359831.4300000099"/>
    <n v="7813642"/>
    <n v="7085479"/>
    <n v="247742616.63916999"/>
    <n v="8012"/>
    <n v="7004"/>
    <n v="6343"/>
    <n v="5485"/>
    <n v="0"/>
    <x v="2"/>
  </r>
  <r>
    <x v="2"/>
    <n v="24866757"/>
    <n v="42093"/>
    <x v="0"/>
    <x v="5"/>
    <n v="10127407.3450047"/>
    <n v="14908437.7128403"/>
    <n v="11624216.2233424"/>
    <n v="3849568.09883158"/>
    <n v="354.17855018269802"/>
    <n v="276.15556561286797"/>
    <n v="91.453878289301898"/>
    <n v="5664973.8599999603"/>
    <n v="5167019.4500000104"/>
    <n v="8450159"/>
    <n v="7112176"/>
    <n v="261458300.79828301"/>
    <n v="5710"/>
    <n v="5052"/>
    <n v="4589"/>
    <n v="4099"/>
    <n v="0"/>
    <x v="2"/>
  </r>
  <r>
    <x v="2"/>
    <n v="24866757"/>
    <n v="549597"/>
    <x v="0"/>
    <x v="6"/>
    <n v="19509109.854399201"/>
    <n v="32752873.898189802"/>
    <n v="19045509.4268906"/>
    <n v="6728946.2381219296"/>
    <n v="59.594346217664601"/>
    <n v="34.653590588905402"/>
    <n v="12.2434187925369"/>
    <n v="14776971.8900024"/>
    <n v="9254108.3700000402"/>
    <n v="18125096"/>
    <n v="23814792"/>
    <n v="620983648.72003901"/>
    <n v="187261"/>
    <n v="155617"/>
    <n v="137538"/>
    <n v="112226"/>
    <n v="0"/>
    <x v="1"/>
  </r>
  <r>
    <x v="2"/>
    <n v="24866757"/>
    <n v="22178"/>
    <x v="0"/>
    <x v="7"/>
    <n v="8320106.3396346597"/>
    <n v="11996062.9103703"/>
    <n v="9618587.3505926505"/>
    <n v="3345668.7579410598"/>
    <n v="540.89922041528996"/>
    <n v="433.69949276727601"/>
    <n v="150.855296146679"/>
    <n v="4395544.7799999798"/>
    <n v="4697774.0599999996"/>
    <n v="6258158"/>
    <n v="4898473"/>
    <n v="191263682.86850399"/>
    <n v="2380"/>
    <n v="2089"/>
    <n v="1899"/>
    <n v="1685"/>
    <n v="0"/>
    <x v="3"/>
  </r>
  <r>
    <x v="2"/>
    <n v="24866757"/>
    <n v="242149"/>
    <x v="0"/>
    <x v="8"/>
    <n v="14786820.080210101"/>
    <n v="23837047.597343199"/>
    <n v="15399104.189899299"/>
    <n v="5124308.4533888297"/>
    <n v="98.439587185341495"/>
    <n v="63.593507261641797"/>
    <n v="21.161798947709102"/>
    <n v="10226997.4799999"/>
    <n v="6851888.1009001099"/>
    <n v="13551559"/>
    <n v="16095580"/>
    <n v="461224183.33296502"/>
    <n v="62330"/>
    <n v="52100"/>
    <n v="46308"/>
    <n v="38927"/>
    <n v="0"/>
    <x v="1"/>
  </r>
  <r>
    <x v="2"/>
    <n v="24866757"/>
    <n v="126789"/>
    <x v="0"/>
    <x v="9"/>
    <n v="10937544.208987899"/>
    <n v="17174269.806418698"/>
    <n v="11785026.317004399"/>
    <n v="3853336.5035408898"/>
    <n v="135.455519062527"/>
    <n v="92.949911404021194"/>
    <n v="30.391725650812699"/>
    <n v="7155610.3099997696"/>
    <n v="5054938.9009000296"/>
    <n v="10032947"/>
    <n v="10896968"/>
    <n v="332549288.38379699"/>
    <n v="26877"/>
    <n v="22688"/>
    <n v="20115"/>
    <n v="17187"/>
    <n v="0"/>
    <x v="1"/>
  </r>
  <r>
    <x v="2"/>
    <n v="24866757"/>
    <n v="9873"/>
    <x v="0"/>
    <x v="10"/>
    <n v="7941731.6555586401"/>
    <n v="10642589.5113186"/>
    <n v="9643798.7430866398"/>
    <n v="3538806.7122706398"/>
    <n v="1077.94890218967"/>
    <n v="976.78504437219101"/>
    <n v="358.43276737269701"/>
    <n v="3459536.1099999901"/>
    <n v="4926135.6899999902"/>
    <n v="4226322"/>
    <n v="3467367"/>
    <n v="150650636.22136399"/>
    <n v="773"/>
    <n v="693"/>
    <n v="633"/>
    <n v="527"/>
    <n v="0"/>
    <x v="3"/>
  </r>
  <r>
    <x v="2"/>
    <n v="24866757"/>
    <n v="86115"/>
    <x v="0"/>
    <x v="11"/>
    <n v="-177441.13084585301"/>
    <n v="-257911.31543013599"/>
    <n v="-185036.90999702501"/>
    <n v="-89375.167110403607"/>
    <n v="-2.9949638904968401"/>
    <n v="-2.14871869008913"/>
    <n v="-1.0378582954236"/>
    <n v="42069.229999999799"/>
    <n v="10654.89"/>
    <n v="316092"/>
    <n v="145488"/>
    <n v="435975425.37522298"/>
    <n v="32476"/>
    <n v="30620"/>
    <n v="29186"/>
    <n v="23082"/>
    <n v="0"/>
    <x v="0"/>
  </r>
  <r>
    <x v="2"/>
    <n v="24866757"/>
    <n v="1017304"/>
    <x v="1"/>
    <x v="0"/>
    <n v="2900096.0161916502"/>
    <n v="2371502.6986700501"/>
    <n v="2593532.56182819"/>
    <n v="3735252.78807778"/>
    <n v="2.3311642327859299"/>
    <n v="2.5494174424048199"/>
    <n v="3.6717173903550702"/>
    <n v="870621.59000001405"/>
    <n v="389609.919999993"/>
    <n v="1349452"/>
    <n v="14167995"/>
    <n v="820031226.28462696"/>
    <n v="732598"/>
    <n v="607483"/>
    <n v="490740"/>
    <n v="273388"/>
    <n v="0"/>
    <x v="0"/>
  </r>
  <r>
    <x v="2"/>
    <n v="24866757"/>
    <n v="500796"/>
    <x v="1"/>
    <x v="1"/>
    <n v="8418495.4283352401"/>
    <n v="7600915.8796449602"/>
    <n v="7945642.9233045997"/>
    <n v="9708927.48205732"/>
    <n v="15.1776689103846"/>
    <n v="15.866027131415899"/>
    <n v="19.386990874642201"/>
    <n v="3006978.3899997999"/>
    <n v="1782134.1100000399"/>
    <n v="5202690"/>
    <n v="17820885"/>
    <n v="138602208.22857699"/>
    <n v="216700"/>
    <n v="158739"/>
    <n v="124364"/>
    <n v="80446"/>
    <n v="0"/>
    <x v="0"/>
  </r>
  <r>
    <x v="2"/>
    <n v="24866757"/>
    <n v="159191"/>
    <x v="1"/>
    <x v="2"/>
    <n v="17794270.3740848"/>
    <n v="17567542.3113054"/>
    <n v="18801753.365967799"/>
    <n v="17013515.444981501"/>
    <n v="110.355122533971"/>
    <n v="118.108142834505"/>
    <n v="106.874857529518"/>
    <n v="5704854.3399998797"/>
    <n v="5940141.3300000504"/>
    <n v="9138331"/>
    <n v="19261425"/>
    <n v="260195523.17420399"/>
    <n v="15904"/>
    <n v="11403"/>
    <n v="9213"/>
    <n v="7427"/>
    <n v="0"/>
    <x v="1"/>
  </r>
  <r>
    <x v="2"/>
    <n v="24866757"/>
    <n v="114969"/>
    <x v="1"/>
    <x v="3"/>
    <n v="15736025.1607526"/>
    <n v="15612570.4947899"/>
    <n v="16670869.281980701"/>
    <n v="14924635.705487199"/>
    <n v="135.798089004774"/>
    <n v="145.003168523521"/>
    <n v="129.814434373502"/>
    <n v="4923004.8999999501"/>
    <n v="5345512.2909000199"/>
    <n v="8168658"/>
    <n v="15835326"/>
    <n v="229108630.72723299"/>
    <n v="9551"/>
    <n v="6900"/>
    <n v="5584"/>
    <n v="4553"/>
    <n v="0"/>
    <x v="2"/>
  </r>
  <r>
    <x v="2"/>
    <n v="24866757"/>
    <n v="150190"/>
    <x v="1"/>
    <x v="4"/>
    <n v="25938446.784595799"/>
    <n v="25981154.1599379"/>
    <n v="27496918.7354999"/>
    <n v="24337267.4583496"/>
    <n v="172.988575537239"/>
    <n v="183.080889110459"/>
    <n v="162.04319500865299"/>
    <n v="7894028.7399998698"/>
    <n v="9112701.9636000097"/>
    <n v="13888914"/>
    <n v="23519433"/>
    <n v="373660679.87136501"/>
    <n v="9895"/>
    <n v="7315"/>
    <n v="5932"/>
    <n v="4836"/>
    <n v="0"/>
    <x v="2"/>
  </r>
  <r>
    <x v="2"/>
    <n v="24866757"/>
    <n v="150227"/>
    <x v="1"/>
    <x v="5"/>
    <n v="36483006.890437298"/>
    <n v="36655222.155405901"/>
    <n v="38782599.254391797"/>
    <n v="34011199.261514597"/>
    <n v="243.99889604003201"/>
    <n v="258.15997959349397"/>
    <n v="226.39871169306801"/>
    <n v="10737049.92"/>
    <n v="13231840.212699899"/>
    <n v="19550271"/>
    <n v="28538172"/>
    <n v="507516113.41965199"/>
    <n v="7728"/>
    <n v="5875"/>
    <n v="4858"/>
    <n v="4018"/>
    <n v="0"/>
    <x v="2"/>
  </r>
  <r>
    <x v="2"/>
    <n v="24866757"/>
    <n v="521608"/>
    <x v="1"/>
    <x v="6"/>
    <n v="19042987.881572701"/>
    <n v="17969454.5935224"/>
    <n v="19179897.3130983"/>
    <n v="19979611.7380981"/>
    <n v="34.450113099343703"/>
    <n v="36.770711555609502"/>
    <n v="38.303882873917097"/>
    <n v="6818997.6299991803"/>
    <n v="5078758.1400001403"/>
    <n v="10610700"/>
    <n v="30300711"/>
    <n v="281695252.30373502"/>
    <n v="138918"/>
    <n v="97671"/>
    <n v="76258"/>
    <n v="55208"/>
    <n v="0"/>
    <x v="1"/>
  </r>
  <r>
    <x v="2"/>
    <n v="24866757"/>
    <n v="106478"/>
    <x v="1"/>
    <x v="7"/>
    <n v="40417610.7888726"/>
    <n v="40854707.276033998"/>
    <n v="43120335.276677802"/>
    <n v="37277789.813906297"/>
    <n v="383.69153511555402"/>
    <n v="404.96943290330199"/>
    <n v="350.09851625599902"/>
    <n v="11512019.640000001"/>
    <n v="15522625.9099999"/>
    <n v="21824886"/>
    <n v="25162753"/>
    <n v="498597800.86681002"/>
    <n v="3853"/>
    <n v="2998"/>
    <n v="2480"/>
    <n v="2053"/>
    <n v="0"/>
    <x v="3"/>
  </r>
  <r>
    <x v="2"/>
    <n v="24866757"/>
    <n v="338584"/>
    <x v="1"/>
    <x v="8"/>
    <n v="20873168.145949598"/>
    <n v="20188958.254170701"/>
    <n v="21674144.976916298"/>
    <n v="20756401.206762299"/>
    <n v="59.627620484638101"/>
    <n v="64.0140850628393"/>
    <n v="61.303550099125502"/>
    <n v="7138535.6399995899"/>
    <n v="6397405.4009000901"/>
    <n v="10793498"/>
    <n v="27668959"/>
    <n v="310836519.36063403"/>
    <n v="57565"/>
    <n v="40219"/>
    <n v="31742"/>
    <n v="24315"/>
    <n v="0"/>
    <x v="1"/>
  </r>
  <r>
    <x v="2"/>
    <n v="24866757"/>
    <n v="228550"/>
    <x v="1"/>
    <x v="9"/>
    <n v="19823528.7824343"/>
    <n v="19385032.969103701"/>
    <n v="20837253.480347998"/>
    <n v="19248299.897851001"/>
    <n v="84.817470877723494"/>
    <n v="91.171531307582896"/>
    <n v="84.219207603811"/>
    <n v="6562354.2299997797"/>
    <n v="6387990.4118000604"/>
    <n v="10122142"/>
    <n v="23451465"/>
    <n v="290769002.124937"/>
    <n v="28487"/>
    <n v="20138"/>
    <n v="16089"/>
    <n v="12685"/>
    <n v="0"/>
    <x v="1"/>
  </r>
  <r>
    <x v="2"/>
    <n v="24866757"/>
    <n v="70335"/>
    <x v="1"/>
    <x v="10"/>
    <n v="57669260.151524"/>
    <n v="58668258.409171402"/>
    <n v="61801807.323815897"/>
    <n v="52537714.7215854"/>
    <n v="834.126088137789"/>
    <n v="878.677860578886"/>
    <n v="746.96402532999798"/>
    <n v="17086159.440000098"/>
    <n v="26057002.2717999"/>
    <n v="26615440"/>
    <n v="23725783"/>
    <n v="628408421.53329396"/>
    <n v="1504"/>
    <n v="1207"/>
    <n v="1017"/>
    <n v="872"/>
    <n v="0"/>
    <x v="3"/>
  </r>
  <r>
    <x v="2"/>
    <n v="24866757"/>
    <n v="21920"/>
    <x v="1"/>
    <x v="11"/>
    <n v="-82615.392538422399"/>
    <n v="-89960.707590333099"/>
    <n v="-91325.8663487554"/>
    <n v="-66559.603676178405"/>
    <n v="-4.1040468791210296"/>
    <n v="-4.1663260195600103"/>
    <n v="-3.0364782698986499"/>
    <n v="14678.8199999999"/>
    <n v="7165.41"/>
    <n v="38292"/>
    <n v="86030"/>
    <n v="1201030363.8560801"/>
    <n v="8466"/>
    <n v="7585"/>
    <n v="5428"/>
    <n v="3943"/>
    <n v="0"/>
    <x v="0"/>
  </r>
  <r>
    <x v="2"/>
    <n v="24866757"/>
    <n v="1474701"/>
    <x v="2"/>
    <x v="0"/>
    <n v="3943461.1031541498"/>
    <n v="2601345.67653151"/>
    <n v="3253457.03407933"/>
    <n v="5975580.5988568496"/>
    <n v="1.7639817675118601"/>
    <n v="2.2061808014501398"/>
    <n v="4.0520624851117901"/>
    <n v="1014396.4499999901"/>
    <n v="573982.60999998997"/>
    <n v="1560063"/>
    <n v="7100129"/>
    <n v="897121306.436481"/>
    <n v="1250835"/>
    <n v="1126330"/>
    <n v="911308"/>
    <n v="426647"/>
    <n v="0"/>
    <x v="0"/>
  </r>
  <r>
    <x v="2"/>
    <n v="24866757"/>
    <n v="602256"/>
    <x v="2"/>
    <x v="1"/>
    <n v="9855553.8010603692"/>
    <n v="7388413.3825955"/>
    <n v="8804309.9132121895"/>
    <n v="13373938.107376801"/>
    <n v="12.2678950190541"/>
    <n v="14.6188828558157"/>
    <n v="22.2064007787001"/>
    <n v="2950607.6699997298"/>
    <n v="1898464.8900000399"/>
    <n v="4618987"/>
    <n v="10424068"/>
    <n v="162546502.33805001"/>
    <n v="373862"/>
    <n v="313215"/>
    <n v="272592"/>
    <n v="163178"/>
    <n v="0"/>
    <x v="0"/>
  </r>
  <r>
    <x v="2"/>
    <n v="24866757"/>
    <n v="115686"/>
    <x v="2"/>
    <x v="2"/>
    <n v="12915270.4711673"/>
    <n v="11929302.480100101"/>
    <n v="13734548.636332801"/>
    <n v="13081960.297069"/>
    <n v="103.117944090902"/>
    <n v="118.722651283066"/>
    <n v="113.081620049695"/>
    <n v="4390774.6199999396"/>
    <n v="3821152.7109000199"/>
    <n v="7063285"/>
    <n v="10011082"/>
    <n v="219078804.57221401"/>
    <n v="24554"/>
    <n v="19981"/>
    <n v="17441"/>
    <n v="14126"/>
    <n v="0"/>
    <x v="1"/>
  </r>
  <r>
    <x v="2"/>
    <n v="24866757"/>
    <n v="79711"/>
    <x v="2"/>
    <x v="3"/>
    <n v="10899487.211206701"/>
    <n v="10211384.2292173"/>
    <n v="11640290.7763336"/>
    <n v="10846786.6280692"/>
    <n v="128.10508247566"/>
    <n v="146.03117231415601"/>
    <n v="136.07640887793599"/>
    <n v="3708517.81999997"/>
    <n v="3304121.6300000101"/>
    <n v="6047404"/>
    <n v="7835341"/>
    <n v="189716233.649093"/>
    <n v="15099"/>
    <n v="12462"/>
    <n v="10969"/>
    <n v="9019"/>
    <n v="0"/>
    <x v="2"/>
  </r>
  <r>
    <x v="2"/>
    <n v="24866757"/>
    <n v="97170"/>
    <x v="2"/>
    <x v="4"/>
    <n v="16751772.972780799"/>
    <n v="15910148.6595689"/>
    <n v="17931791.5153987"/>
    <n v="16413378.743375"/>
    <n v="163.735192544705"/>
    <n v="184.540408720785"/>
    <n v="168.91405519579101"/>
    <n v="5659846.9399999296"/>
    <n v="5224125.6709000198"/>
    <n v="9618840"/>
    <n v="11277943"/>
    <n v="288646082.39614397"/>
    <n v="16121"/>
    <n v="13364"/>
    <n v="11801"/>
    <n v="9728"/>
    <n v="0"/>
    <x v="2"/>
  </r>
  <r>
    <x v="2"/>
    <n v="24866757"/>
    <n v="86998"/>
    <x v="2"/>
    <x v="5"/>
    <n v="21038180.204773799"/>
    <n v="20445419.026972201"/>
    <n v="22579082.4652806"/>
    <n v="20090039.122068401"/>
    <n v="235.01021893574799"/>
    <n v="259.53564984575098"/>
    <n v="230.92529853638399"/>
    <n v="7136332.37999993"/>
    <n v="6985404.4218000202"/>
    <n v="12240452"/>
    <n v="12507931"/>
    <n v="354833671.693385"/>
    <n v="11571"/>
    <n v="9579"/>
    <n v="8526"/>
    <n v="7154"/>
    <n v="0"/>
    <x v="2"/>
  </r>
  <r>
    <x v="2"/>
    <n v="24866757"/>
    <n v="506995"/>
    <x v="2"/>
    <x v="6"/>
    <n v="18334328.285480902"/>
    <n v="15132281.8529278"/>
    <n v="18175787.295508198"/>
    <n v="21694915.708009198"/>
    <n v="29.8470041182415"/>
    <n v="35.850032634460398"/>
    <n v="42.7911827690791"/>
    <n v="5986921.0899992604"/>
    <n v="4346728.8100001505"/>
    <n v="8870306"/>
    <n v="17505308"/>
    <n v="298284019.53569698"/>
    <n v="221992"/>
    <n v="179222"/>
    <n v="154132"/>
    <n v="110348"/>
    <n v="0"/>
    <x v="1"/>
  </r>
  <r>
    <x v="2"/>
    <n v="24866757"/>
    <n v="53853"/>
    <x v="2"/>
    <x v="7"/>
    <n v="20312253.216574501"/>
    <n v="19989942.504409499"/>
    <n v="21941810.615918498"/>
    <n v="19005006.529395498"/>
    <n v="371.19459462628902"/>
    <n v="407.43896562714298"/>
    <n v="352.90525187817701"/>
    <n v="6825612.5099999802"/>
    <n v="7293541.0708999997"/>
    <n v="11580304"/>
    <n v="10260812"/>
    <n v="309665152.81689101"/>
    <n v="5680"/>
    <n v="4839"/>
    <n v="4329"/>
    <n v="3721"/>
    <n v="0"/>
    <x v="3"/>
  </r>
  <r>
    <x v="2"/>
    <n v="24866757"/>
    <n v="286587"/>
    <x v="2"/>
    <x v="8"/>
    <n v="17608638.493165899"/>
    <n v="15381084.8784205"/>
    <n v="18192295.7843064"/>
    <n v="19252534.8167721"/>
    <n v="53.669862479528099"/>
    <n v="63.479138217387501"/>
    <n v="67.178674597145502"/>
    <n v="5893172.2699996904"/>
    <n v="4754001.2200000603"/>
    <n v="8825708"/>
    <n v="15549738"/>
    <n v="293966336.88244599"/>
    <n v="90597"/>
    <n v="72871"/>
    <n v="63145"/>
    <n v="48502"/>
    <n v="0"/>
    <x v="1"/>
  </r>
  <r>
    <x v="2"/>
    <n v="24866757"/>
    <n v="176363"/>
    <x v="2"/>
    <x v="9"/>
    <n v="15269205.460808801"/>
    <n v="13791610.366048601"/>
    <n v="16063351.8598885"/>
    <n v="15952654.156489501"/>
    <n v="78.200134756432107"/>
    <n v="91.081189704691695"/>
    <n v="90.453520049497797"/>
    <n v="5182517.9899998698"/>
    <n v="4356700.5809000405"/>
    <n v="7969888"/>
    <n v="12571976"/>
    <n v="258279548.999731"/>
    <n v="44642"/>
    <n v="36145"/>
    <n v="31455"/>
    <n v="25025"/>
    <n v="0"/>
    <x v="1"/>
  </r>
  <r>
    <x v="2"/>
    <n v="24866757"/>
    <n v="28759"/>
    <x v="2"/>
    <x v="10"/>
    <n v="22847255.801305301"/>
    <n v="22714563.5263316"/>
    <n v="24515701.363670401"/>
    <n v="21311502.5139139"/>
    <n v="789.82452541227701"/>
    <n v="852.45319251957505"/>
    <n v="741.03767564636803"/>
    <n v="7951404.1799999597"/>
    <n v="9811075.3799999896"/>
    <n v="10950153"/>
    <n v="8997638"/>
    <n v="310906004.49943203"/>
    <n v="1986"/>
    <n v="1743"/>
    <n v="1544"/>
    <n v="1339"/>
    <n v="0"/>
    <x v="3"/>
  </r>
  <r>
    <x v="2"/>
    <n v="24866757"/>
    <n v="23910"/>
    <x v="2"/>
    <x v="11"/>
    <n v="-126922.292987045"/>
    <n v="-130868.778662336"/>
    <n v="-139770.58961757499"/>
    <n v="-110127.51068122601"/>
    <n v="-5.4733909938242098"/>
    <n v="-5.8456959271256901"/>
    <n v="-4.6059184726568896"/>
    <n v="14034.0899999999"/>
    <n v="6082.4"/>
    <n v="88085"/>
    <n v="159707"/>
    <n v="1106403104.79144"/>
    <n v="14063"/>
    <n v="13036"/>
    <n v="9402"/>
    <n v="5501"/>
    <n v="0"/>
    <x v="0"/>
  </r>
  <r>
    <x v="2"/>
    <n v="24866757"/>
    <n v="776301"/>
    <x v="3"/>
    <x v="0"/>
    <n v="2116631.07408662"/>
    <n v="1499969.6971082401"/>
    <n v="1800310.15898112"/>
    <n v="3049613.3661705698"/>
    <n v="1.93220116566672"/>
    <n v="2.3190877752071999"/>
    <n v="3.92839036169033"/>
    <n v="584924.15000001702"/>
    <n v="266377.73"/>
    <n v="937889"/>
    <n v="9023467"/>
    <n v="347770150.13928097"/>
    <n v="609179"/>
    <n v="527017"/>
    <n v="439677"/>
    <n v="232582"/>
    <n v="0"/>
    <x v="0"/>
  </r>
  <r>
    <x v="2"/>
    <n v="24866757"/>
    <n v="329398"/>
    <x v="3"/>
    <x v="1"/>
    <n v="5465384.6171129895"/>
    <n v="4439657.3471430698"/>
    <n v="4995142.2780536702"/>
    <n v="6961354.22614324"/>
    <n v="13.4780944242013"/>
    <n v="15.1644584303902"/>
    <n v="21.1335655533526"/>
    <n v="1727781.1699999301"/>
    <n v="1095932.9609000001"/>
    <n v="3094509"/>
    <n v="7804099"/>
    <n v="89298964.879193306"/>
    <n v="180957"/>
    <n v="143365"/>
    <n v="119545"/>
    <n v="77916"/>
    <n v="0"/>
    <x v="0"/>
  </r>
  <r>
    <x v="2"/>
    <n v="24866757"/>
    <n v="72117"/>
    <x v="3"/>
    <x v="2"/>
    <n v="8054053.70380776"/>
    <n v="7647108.7302174401"/>
    <n v="8466379.0617332496"/>
    <n v="8048673.3194725597"/>
    <n v="106.037532484954"/>
    <n v="117.397826611385"/>
    <n v="111.60577006077"/>
    <n v="2627015.6899999799"/>
    <n v="2471292.8609000002"/>
    <n v="4889822"/>
    <n v="7275672"/>
    <n v="132571685.205502"/>
    <n v="11717"/>
    <n v="9136"/>
    <n v="7747"/>
    <n v="6435"/>
    <n v="0"/>
    <x v="1"/>
  </r>
  <r>
    <x v="2"/>
    <n v="24866757"/>
    <n v="50018"/>
    <x v="3"/>
    <x v="3"/>
    <n v="6841698.7387829404"/>
    <n v="6555572.0938923201"/>
    <n v="7233587.8190790797"/>
    <n v="6735936.3033774197"/>
    <n v="131.06425874469801"/>
    <n v="144.61969329199599"/>
    <n v="134.67024477942701"/>
    <n v="2223711.8199999798"/>
    <n v="2137269.66"/>
    <n v="4377414"/>
    <n v="5849610"/>
    <n v="112662876.738213"/>
    <n v="7102"/>
    <n v="5592"/>
    <n v="4752"/>
    <n v="3953"/>
    <n v="0"/>
    <x v="2"/>
  </r>
  <r>
    <x v="2"/>
    <n v="24866757"/>
    <n v="61813"/>
    <x v="3"/>
    <x v="4"/>
    <n v="10663833.840314301"/>
    <n v="10362572.121921999"/>
    <n v="11317291.291962201"/>
    <n v="10311638.107058801"/>
    <n v="167.64389565175699"/>
    <n v="183.089176903924"/>
    <n v="166.81989398765401"/>
    <n v="3417696.8099999698"/>
    <n v="3455260.05"/>
    <n v="6912120"/>
    <n v="8277900"/>
    <n v="174021213.40667099"/>
    <n v="7432"/>
    <n v="5853"/>
    <n v="5006"/>
    <n v="4216"/>
    <n v="0"/>
    <x v="2"/>
  </r>
  <r>
    <x v="2"/>
    <n v="24866757"/>
    <n v="58043"/>
    <x v="3"/>
    <x v="5"/>
    <n v="14046853.480978901"/>
    <n v="13771290.746489801"/>
    <n v="14953977.434662901"/>
    <n v="13415292.261784101"/>
    <n v="237.26014758868101"/>
    <n v="257.63619100775202"/>
    <n v="231.126789824512"/>
    <n v="4421322.4099999797"/>
    <n v="4729919.1900000097"/>
    <n v="9149596"/>
    <n v="9570144"/>
    <n v="225957829.326031"/>
    <n v="5596"/>
    <n v="4471"/>
    <n v="3854"/>
    <n v="3291"/>
    <n v="0"/>
    <x v="2"/>
  </r>
  <r>
    <x v="2"/>
    <n v="24866757"/>
    <n v="300874"/>
    <x v="3"/>
    <x v="6"/>
    <n v="10913635.9237407"/>
    <n v="9536742.5875784904"/>
    <n v="10861988.905246601"/>
    <n v="12342176.2783977"/>
    <n v="31.6967986186194"/>
    <n v="36.101454114501998"/>
    <n v="41.021079516335"/>
    <n v="3609453.4599998798"/>
    <n v="2737157.23000004"/>
    <n v="5988458"/>
    <n v="12975093"/>
    <n v="171021108.20490399"/>
    <n v="112114"/>
    <n v="85589"/>
    <n v="71186"/>
    <n v="52647"/>
    <n v="0"/>
    <x v="1"/>
  </r>
  <r>
    <x v="2"/>
    <n v="24866757"/>
    <n v="37098"/>
    <x v="3"/>
    <x v="7"/>
    <n v="14029461.0617049"/>
    <n v="13879824.065098399"/>
    <n v="15032057.678784801"/>
    <n v="13176501.4412317"/>
    <n v="374.13941627846299"/>
    <n v="405.19860043087999"/>
    <n v="355.18091113353103"/>
    <n v="4356319.6099999798"/>
    <n v="5103992.3000000101"/>
    <n v="8860805"/>
    <n v="7969558"/>
    <n v="203938947.03373"/>
    <n v="2682"/>
    <n v="2191"/>
    <n v="1889"/>
    <n v="1623"/>
    <n v="0"/>
    <x v="3"/>
  </r>
  <r>
    <x v="2"/>
    <n v="24866757"/>
    <n v="175474"/>
    <x v="3"/>
    <x v="8"/>
    <n v="10789422.6808697"/>
    <n v="9852816.3307395391"/>
    <n v="11129220.7241612"/>
    <n v="11386230.9877086"/>
    <n v="56.149722071301397"/>
    <n v="63.423759213110003"/>
    <n v="64.888422146349896"/>
    <n v="3595122.1799999201"/>
    <n v="3047015.5500000301"/>
    <n v="6037704"/>
    <n v="11315366"/>
    <n v="174332034.094964"/>
    <n v="45040"/>
    <n v="34404"/>
    <n v="28902"/>
    <n v="22925"/>
    <n v="0"/>
    <x v="1"/>
  </r>
  <r>
    <x v="2"/>
    <n v="24866757"/>
    <n v="110102"/>
    <x v="3"/>
    <x v="9"/>
    <n v="9529549.1277955193"/>
    <n v="8918872.39912563"/>
    <n v="9969536.9853337798"/>
    <n v="9700237.9989270307"/>
    <n v="81.005543942213905"/>
    <n v="90.548191543602996"/>
    <n v="88.102286960518697"/>
    <n v="3126873.1199999698"/>
    <n v="2834357.3300000099"/>
    <n v="5559033"/>
    <n v="9170875"/>
    <n v="155863706.69513699"/>
    <n v="21932"/>
    <n v="16975"/>
    <n v="14417"/>
    <n v="11654"/>
    <n v="0"/>
    <x v="1"/>
  </r>
  <r>
    <x v="2"/>
    <n v="24866757"/>
    <n v="22050"/>
    <x v="3"/>
    <x v="10"/>
    <n v="17669317.505203702"/>
    <n v="17727730.670460802"/>
    <n v="19049130.631631799"/>
    <n v="16231091.213518601"/>
    <n v="803.97871521364095"/>
    <n v="863.90615109441501"/>
    <n v="736.10390991014197"/>
    <n v="5744495.2899999898"/>
    <n v="7778060.3899999997"/>
    <n v="9033511"/>
    <n v="7274513"/>
    <n v="231007417.55861801"/>
    <n v="1007"/>
    <n v="841"/>
    <n v="738"/>
    <n v="638"/>
    <n v="0"/>
    <x v="3"/>
  </r>
  <r>
    <x v="2"/>
    <n v="24866757"/>
    <n v="15434"/>
    <x v="3"/>
    <x v="11"/>
    <n v="-158578.03064212101"/>
    <n v="-145482.21864091899"/>
    <n v="-170475.07516399099"/>
    <n v="-159776.79812145501"/>
    <n v="-9.4260864740779393"/>
    <n v="-11.0454240743806"/>
    <n v="-10.3522611197003"/>
    <n v="10834.54"/>
    <n v="3542.76"/>
    <n v="1018193"/>
    <n v="941295"/>
    <n v="393794162.78824103"/>
    <n v="6845"/>
    <n v="5903"/>
    <n v="4223"/>
    <n v="2616"/>
    <n v="0"/>
    <x v="0"/>
  </r>
  <r>
    <x v="2"/>
    <n v="24866757"/>
    <n v="505600"/>
    <x v="4"/>
    <x v="0"/>
    <n v="1391957.12273724"/>
    <n v="1005470.83475607"/>
    <n v="1288748.18509614"/>
    <n v="1881652.34835927"/>
    <n v="1.9886685814004601"/>
    <n v="2.5489481509021799"/>
    <n v="3.7216225244447698"/>
    <n v="368905.37000000698"/>
    <n v="178655.49"/>
    <n v="625427"/>
    <n v="4445545"/>
    <n v="385557486.28461802"/>
    <n v="380708"/>
    <n v="324788"/>
    <n v="268522"/>
    <n v="145920"/>
    <n v="0"/>
    <x v="0"/>
  </r>
  <r>
    <x v="2"/>
    <n v="24866757"/>
    <n v="215694"/>
    <x v="4"/>
    <x v="1"/>
    <n v="3593115.96858169"/>
    <n v="3054632.7177965399"/>
    <n v="3357707.7789798598"/>
    <n v="4367007.4089689199"/>
    <n v="14.161880802417"/>
    <n v="15.5669966664806"/>
    <n v="20.246309164691301"/>
    <n v="1130829.1199999901"/>
    <n v="759590.08999999706"/>
    <n v="2207689"/>
    <n v="5720445"/>
    <n v="65901451.369514398"/>
    <n v="109941"/>
    <n v="84406"/>
    <n v="68619"/>
    <n v="45002"/>
    <n v="0"/>
    <x v="0"/>
  </r>
  <r>
    <x v="2"/>
    <n v="24866757"/>
    <n v="53111"/>
    <x v="4"/>
    <x v="2"/>
    <n v="5927092.1261371896"/>
    <n v="5789942.93461983"/>
    <n v="6308857.8156747902"/>
    <n v="5682475.6281169299"/>
    <n v="109.015890015624"/>
    <n v="118.786274324994"/>
    <n v="106.992442773002"/>
    <n v="1842914.0799999901"/>
    <n v="1818546.56"/>
    <n v="3779357"/>
    <n v="5598508"/>
    <n v="112201347.526362"/>
    <n v="6929"/>
    <n v="5223"/>
    <n v="4312"/>
    <n v="3547"/>
    <n v="0"/>
    <x v="1"/>
  </r>
  <r>
    <x v="2"/>
    <n v="24866757"/>
    <n v="37136"/>
    <x v="4"/>
    <x v="3"/>
    <n v="5078736.1169727398"/>
    <n v="4998100.4433209598"/>
    <n v="5399024.2542254496"/>
    <n v="4839083.65337181"/>
    <n v="134.58908992139601"/>
    <n v="145.38518564803499"/>
    <n v="130.30707812828001"/>
    <n v="1546329.77999999"/>
    <n v="1588614.99"/>
    <n v="3363355"/>
    <n v="4513376"/>
    <n v="96335154.079342797"/>
    <n v="4255"/>
    <n v="3223"/>
    <n v="2689"/>
    <n v="2200"/>
    <n v="0"/>
    <x v="2"/>
  </r>
  <r>
    <x v="2"/>
    <n v="24866757"/>
    <n v="46348"/>
    <x v="4"/>
    <x v="4"/>
    <n v="7992734.5402789898"/>
    <n v="7945971.8414415196"/>
    <n v="8540024.0018237699"/>
    <n v="7492207.7775716903"/>
    <n v="171.441525879035"/>
    <n v="184.258738280481"/>
    <n v="161.651155984545"/>
    <n v="2370936.5699999798"/>
    <n v="2592412.5408999999"/>
    <n v="5333682"/>
    <n v="6463268"/>
    <n v="151721737.064924"/>
    <n v="4350"/>
    <n v="3353"/>
    <n v="2808"/>
    <n v="2371"/>
    <n v="0"/>
    <x v="2"/>
  </r>
  <r>
    <x v="2"/>
    <n v="24866757"/>
    <n v="43442"/>
    <x v="4"/>
    <x v="5"/>
    <n v="10519112.3428507"/>
    <n v="10590335.897586299"/>
    <n v="11250508.572486499"/>
    <n v="9716492.5584794208"/>
    <n v="243.78103903103701"/>
    <n v="258.97768455610998"/>
    <n v="223.665866177418"/>
    <n v="3046912.1999999899"/>
    <n v="3542645.13"/>
    <n v="7217132"/>
    <n v="7530008"/>
    <n v="196045315.717399"/>
    <n v="3166"/>
    <n v="2485"/>
    <n v="2106"/>
    <n v="1802"/>
    <n v="0"/>
    <x v="2"/>
  </r>
  <r>
    <x v="2"/>
    <n v="24866757"/>
    <n v="205879"/>
    <x v="4"/>
    <x v="6"/>
    <n v="7495247.5800400302"/>
    <n v="6820902.9887153096"/>
    <n v="7552349.2453249497"/>
    <n v="8112490.5060800901"/>
    <n v="33.1306397870366"/>
    <n v="36.6834366075459"/>
    <n v="39.404167040252197"/>
    <n v="2444762.0599999302"/>
    <n v="1961472.0600000101"/>
    <n v="4327859"/>
    <n v="9562370"/>
    <n v="131118232.931962"/>
    <n v="67452"/>
    <n v="49752"/>
    <n v="40230"/>
    <n v="29912"/>
    <n v="0"/>
    <x v="1"/>
  </r>
  <r>
    <x v="2"/>
    <n v="24866757"/>
    <n v="28035"/>
    <x v="4"/>
    <x v="7"/>
    <n v="10594990.0044789"/>
    <n v="10657513.3592637"/>
    <n v="11377986.629368899"/>
    <n v="9749470.0248041395"/>
    <n v="380.15028925499399"/>
    <n v="405.84935364255301"/>
    <n v="347.76065720720999"/>
    <n v="2974079.4799999902"/>
    <n v="3837326.48"/>
    <n v="6972710"/>
    <n v="6133738"/>
    <n v="170881641.943158"/>
    <n v="1547"/>
    <n v="1231"/>
    <n v="1067"/>
    <n v="916"/>
    <n v="0"/>
    <x v="3"/>
  </r>
  <r>
    <x v="2"/>
    <n v="24866757"/>
    <n v="124231"/>
    <x v="4"/>
    <x v="8"/>
    <n v="7645402.3827603897"/>
    <n v="7235538.9725254597"/>
    <n v="7969044.0108541502"/>
    <n v="7731624.16490163"/>
    <n v="58.242620380786299"/>
    <n v="64.146984334458807"/>
    <n v="62.235868381495997"/>
    <n v="2451963.5499999602"/>
    <n v="2224349.45000001"/>
    <n v="4437114"/>
    <n v="8511738"/>
    <n v="140480233.23933899"/>
    <n v="26912"/>
    <n v="19918"/>
    <n v="16279"/>
    <n v="12767"/>
    <n v="0"/>
    <x v="1"/>
  </r>
  <r>
    <x v="2"/>
    <n v="24866757"/>
    <n v="78891"/>
    <x v="4"/>
    <x v="9"/>
    <n v="6834434.7466685995"/>
    <n v="6617231.4198145196"/>
    <n v="7225950.0686772401"/>
    <n v="6660122.7515141498"/>
    <n v="83.878153652692006"/>
    <n v="91.5940990566382"/>
    <n v="84.421832040589507"/>
    <n v="2149127.9199999799"/>
    <n v="2089579.8008999999"/>
    <n v="4227799"/>
    <n v="7013218"/>
    <n v="128289511.39328299"/>
    <n v="12996"/>
    <n v="9677"/>
    <n v="7937"/>
    <n v="6429"/>
    <n v="0"/>
    <x v="1"/>
  </r>
  <r>
    <x v="2"/>
    <n v="24866757"/>
    <n v="16214"/>
    <x v="4"/>
    <x v="10"/>
    <n v="13139682.1865026"/>
    <n v="13311795.1690135"/>
    <n v="14138444.2535745"/>
    <n v="11968807.1369198"/>
    <n v="821.00623960857899"/>
    <n v="871.98990092355803"/>
    <n v="738.17732434438199"/>
    <n v="3808029.5399999898"/>
    <n v="5979669.3300000001"/>
    <n v="6547870"/>
    <n v="5061095"/>
    <n v="175588167.743554"/>
    <n v="585"/>
    <n v="486"/>
    <n v="426"/>
    <n v="383"/>
    <n v="0"/>
    <x v="3"/>
  </r>
  <r>
    <x v="2"/>
    <n v="24866757"/>
    <n v="10683"/>
    <x v="4"/>
    <x v="11"/>
    <n v="-113873.59348068399"/>
    <n v="-105036.317858222"/>
    <n v="-115620.15137681599"/>
    <n v="-120964.311207013"/>
    <n v="-9.8320993970067292"/>
    <n v="-10.822816753422799"/>
    <n v="-11.3230657312565"/>
    <n v="6845.26"/>
    <n v="4046.65"/>
    <n v="629286"/>
    <n v="104347"/>
    <n v="451666035.04435599"/>
    <n v="4480"/>
    <n v="3883"/>
    <n v="2983"/>
    <n v="1988"/>
    <n v="0"/>
    <x v="0"/>
  </r>
  <r>
    <x v="2"/>
    <n v="24866757"/>
    <n v="1499864"/>
    <x v="5"/>
    <x v="0"/>
    <n v="5033929.74935045"/>
    <n v="4773884.5371990204"/>
    <n v="4743042.4740859298"/>
    <n v="5584862.2367690802"/>
    <n v="3.18287827242938"/>
    <n v="3.1623150326202398"/>
    <n v="3.7235790956840602"/>
    <n v="1876824.70049995"/>
    <n v="400641.819599993"/>
    <n v="2389486"/>
    <n v="40768905"/>
    <n v="128758661.83128799"/>
    <n v="826447"/>
    <n v="611138"/>
    <n v="458496"/>
    <n v="253898"/>
    <n v="0"/>
    <x v="0"/>
  </r>
  <r>
    <x v="2"/>
    <n v="24866757"/>
    <n v="1010727"/>
    <x v="5"/>
    <x v="1"/>
    <n v="17288918.189058699"/>
    <n v="17234062.763659999"/>
    <n v="16733730.152381601"/>
    <n v="17898961.651135098"/>
    <n v="17.051155023720501"/>
    <n v="16.5561325188519"/>
    <n v="17.708997237765601"/>
    <n v="8805089.8841992095"/>
    <n v="2223518.1331000701"/>
    <n v="12888258"/>
    <n v="62792367"/>
    <n v="175336309.27657601"/>
    <n v="246341"/>
    <n v="147961"/>
    <n v="103544"/>
    <n v="62426"/>
    <n v="0"/>
    <x v="0"/>
  </r>
  <r>
    <x v="2"/>
    <n v="24866757"/>
    <n v="561453"/>
    <x v="5"/>
    <x v="2"/>
    <n v="62870984.786937997"/>
    <n v="64265120.719464898"/>
    <n v="65525995.344674103"/>
    <n v="58821838.296674803"/>
    <n v="114.46215572713101"/>
    <n v="116.707890677713"/>
    <n v="104.767163585687"/>
    <n v="28873993.460100099"/>
    <n v="16162885.1770996"/>
    <n v="46255364"/>
    <n v="96636207"/>
    <n v="572223481.85900295"/>
    <n v="20772"/>
    <n v="12850"/>
    <n v="9333"/>
    <n v="6887"/>
    <n v="0"/>
    <x v="1"/>
  </r>
  <r>
    <x v="2"/>
    <n v="24866757"/>
    <n v="444861"/>
    <x v="5"/>
    <x v="3"/>
    <n v="60956688.907448597"/>
    <n v="62457754.332198903"/>
    <n v="63727077.2211871"/>
    <n v="56685235.1689611"/>
    <n v="140.39835888558201"/>
    <n v="143.25166112827799"/>
    <n v="127.42235253025299"/>
    <n v="27148365.7561001"/>
    <n v="16486506.350399701"/>
    <n v="45167455"/>
    <n v="84899243"/>
    <n v="565662604.39247298"/>
    <n v="13231"/>
    <n v="8349"/>
    <n v="6160"/>
    <n v="4620"/>
    <n v="0"/>
    <x v="2"/>
  </r>
  <r>
    <x v="2"/>
    <n v="24866757"/>
    <n v="652591"/>
    <x v="5"/>
    <x v="4"/>
    <n v="113129118.436713"/>
    <n v="116281149.188288"/>
    <n v="118528866.186222"/>
    <n v="104577339.935626"/>
    <n v="178.18380760428599"/>
    <n v="181.62810425859701"/>
    <n v="160.249436378415"/>
    <n v="48666773.8469005"/>
    <n v="32462493.7752994"/>
    <n v="84735327"/>
    <n v="140963936"/>
    <n v="1074249436.7662699"/>
    <n v="14868"/>
    <n v="9589"/>
    <n v="7147"/>
    <n v="5431"/>
    <n v="0"/>
    <x v="2"/>
  </r>
  <r>
    <x v="2"/>
    <n v="24866757"/>
    <n v="770067"/>
    <x v="5"/>
    <x v="5"/>
    <n v="188222463.974875"/>
    <n v="193615124.662606"/>
    <n v="197808934.33887699"/>
    <n v="173243332.923143"/>
    <n v="251.426336490989"/>
    <n v="256.87236868853898"/>
    <n v="224.971765993274"/>
    <n v="76565938.550600201"/>
    <n v="58560105.074698903"/>
    <n v="141783849"/>
    <n v="198333599"/>
    <n v="1812515941.7223401"/>
    <n v="12193"/>
    <n v="8205"/>
    <n v="6144"/>
    <n v="4727"/>
    <n v="0"/>
    <x v="2"/>
  </r>
  <r>
    <x v="2"/>
    <n v="24866757"/>
    <n v="1252140"/>
    <x v="5"/>
    <x v="6"/>
    <n v="46138614.801761098"/>
    <n v="46546923.177303202"/>
    <n v="46504941.829236098"/>
    <n v="45363979.398745902"/>
    <n v="37.173896830468799"/>
    <n v="37.1403691514017"/>
    <n v="36.229159198448997"/>
    <n v="24173521.527501199"/>
    <n v="7813572.5817001304"/>
    <n v="35155576"/>
    <n v="117206127"/>
    <n v="395209939.78778702"/>
    <n v="158807"/>
    <n v="91868"/>
    <n v="64768"/>
    <n v="43086"/>
    <n v="0"/>
    <x v="1"/>
  </r>
  <r>
    <x v="2"/>
    <n v="24866757"/>
    <n v="653899"/>
    <x v="5"/>
    <x v="7"/>
    <n v="250213114.795131"/>
    <n v="257599331.21649599"/>
    <n v="263900295.854911"/>
    <n v="229139717.31398499"/>
    <n v="393.943607830102"/>
    <n v="403.57959846231699"/>
    <n v="350.42065718709699"/>
    <n v="94084857.069699898"/>
    <n v="87785909.348499998"/>
    <n v="180820112"/>
    <n v="211946010"/>
    <n v="2329738878.71134"/>
    <n v="6420"/>
    <n v="4369"/>
    <n v="3269"/>
    <n v="2558"/>
    <n v="0"/>
    <x v="3"/>
  </r>
  <r>
    <x v="2"/>
    <n v="24866757"/>
    <n v="937950"/>
    <x v="5"/>
    <x v="8"/>
    <n v="58103114.286528997"/>
    <n v="58919605.267962098"/>
    <n v="59802147.344124898"/>
    <n v="55587590.2474989"/>
    <n v="62.8174265877308"/>
    <n v="63.7583531575509"/>
    <n v="59.264982405777403"/>
    <n v="29021453.093200501"/>
    <n v="12349064.0487996"/>
    <n v="43008618"/>
    <n v="116447284"/>
    <n v="506367772.35464698"/>
    <n v="67983"/>
    <n v="40088"/>
    <n v="28732"/>
    <n v="20435"/>
    <n v="0"/>
    <x v="1"/>
  </r>
  <r>
    <x v="2"/>
    <n v="24866757"/>
    <n v="718847"/>
    <x v="5"/>
    <x v="9"/>
    <n v="62526847.227224998"/>
    <n v="63743564.002788298"/>
    <n v="64879461.678021297"/>
    <n v="58957516.000864998"/>
    <n v="88.674730509814097"/>
    <n v="90.254896630327806"/>
    <n v="82.016779649723802"/>
    <n v="29808588.655600298"/>
    <n v="15010306.6838996"/>
    <n v="45622040"/>
    <n v="107183056"/>
    <n v="558441254.83250797"/>
    <n v="35844"/>
    <n v="21634"/>
    <n v="15640"/>
    <n v="11413"/>
    <n v="0"/>
    <x v="1"/>
  </r>
  <r>
    <x v="2"/>
    <n v="24866757"/>
    <n v="502897"/>
    <x v="5"/>
    <x v="10"/>
    <n v="417248334.28477103"/>
    <n v="430345340.557311"/>
    <n v="443096285.59273499"/>
    <n v="378303376.70425701"/>
    <n v="855.73256662360598"/>
    <n v="881.08754992122795"/>
    <n v="752.24822718023302"/>
    <n v="148896054.0686"/>
    <n v="183677686.36489999"/>
    <n v="244165330"/>
    <n v="233982647"/>
    <n v="3786187501.5596199"/>
    <n v="2590"/>
    <n v="1806"/>
    <n v="1397"/>
    <n v="1141"/>
    <n v="0"/>
    <x v="3"/>
  </r>
  <r>
    <x v="2"/>
    <n v="24866757"/>
    <n v="17573"/>
    <x v="5"/>
    <x v="11"/>
    <n v="-259048.45979647801"/>
    <n v="-274650.24512012902"/>
    <n v="-289088.77546673198"/>
    <n v="-213406.358802573"/>
    <n v="-15.6291040300534"/>
    <n v="-16.4507355298886"/>
    <n v="-12.143991282226899"/>
    <n v="86366.560100000002"/>
    <n v="19531.990300000001"/>
    <n v="152765"/>
    <n v="414447"/>
    <n v="3010322.1330728498"/>
    <n v="9496"/>
    <n v="8211"/>
    <n v="6100"/>
    <n v="4311"/>
    <n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Zero or LT Zero ARPU"/>
    <n v="94966"/>
    <n v="-661944.6577967708"/>
    <n v="4.9209375617766385E-3"/>
    <n v="-3.7957271921031978E-4"/>
    <n v="-6.9703331486718492"/>
    <n v="38848"/>
    <n v="34111"/>
    <n v="27839"/>
    <n v="16842"/>
    <n v="11705"/>
    <n v="0.40907272076322054"/>
    <n v="0.35919171071751993"/>
    <n v="0.29314702103910872"/>
    <n v="0.17734768232841228"/>
    <n v="0.12325463850220079"/>
  </r>
  <r>
    <x v="0"/>
    <s v="0 - 10 ARPU"/>
    <n v="5417635"/>
    <n v="16131865.035117742"/>
    <n v="0.28073040422357243"/>
    <n v="9.2503441264926139E-3"/>
    <n v="2.9776581543639877"/>
    <n v="3640977"/>
    <n v="3093904"/>
    <n v="2561277"/>
    <n v="1334219"/>
    <n v="678701"/>
    <n v="0.67206022554121858"/>
    <n v="0.57108018535763294"/>
    <n v="0.47276662233613004"/>
    <n v="0.24627332775279251"/>
    <n v="0.12527625061489009"/>
  </r>
  <r>
    <x v="0"/>
    <s v="10 - 25 ARPU"/>
    <n v="2794184"/>
    <n v="46867611.283224024"/>
    <n v="0.1447887138566992"/>
    <n v="2.6874854941615622E-2"/>
    <n v="16.773273085531958"/>
    <n v="1078176"/>
    <n v="852997"/>
    <n v="715877"/>
    <n v="439985"/>
    <n v="211668"/>
    <n v="0.38586435252653367"/>
    <n v="0.30527588734313849"/>
    <n v="0.2562025263905312"/>
    <n v="0.15746457642016418"/>
    <n v="7.5753064221969632E-2"/>
  </r>
  <r>
    <x v="1"/>
    <s v="25 - 50 ARPU"/>
    <n v="2872641"/>
    <n v="104849511.29027547"/>
    <n v="0.14885418990375088"/>
    <n v="6.0122872266674759E-2"/>
    <n v="36.499343736399872"/>
    <n v="635035"/>
    <n v="488683"/>
    <n v="407530"/>
    <n v="287407"/>
    <n v="140675"/>
    <n v="0.22106312623122765"/>
    <n v="0.17011627975789526"/>
    <n v="0.14186596932926879"/>
    <n v="0.10004974516481524"/>
    <n v="4.8970616237810433E-2"/>
  </r>
  <r>
    <x v="1"/>
    <s v="50 - 75 ARPU"/>
    <n v="1869756"/>
    <n v="115331107.29609345"/>
    <n v="9.6886807191597424E-2"/>
    <n v="6.6133235596495352E-2"/>
    <n v="61.682437331979919"/>
    <n v="251574"/>
    <n v="192490"/>
    <n v="160712"/>
    <n v="120796"/>
    <n v="61780"/>
    <n v="0.13454910694229621"/>
    <n v="0.10294926182881617"/>
    <n v="8.5953461307250789E-2"/>
    <n v="6.4605221216030323E-2"/>
    <n v="3.3041744484307044E-2"/>
  </r>
  <r>
    <x v="1"/>
    <s v="75 - 100 ARPU"/>
    <n v="1290289"/>
    <n v="111998182.40458354"/>
    <n v="6.6860051025074418E-2"/>
    <n v="6.4222067723028534E-2"/>
    <n v="86.800850355682755"/>
    <n v="121543"/>
    <n v="93576"/>
    <n v="78038"/>
    <n v="59994"/>
    <n v="32020"/>
    <n v="9.4198276510146173E-2"/>
    <n v="7.2523287418555071E-2"/>
    <n v="6.0481024018650083E-2"/>
    <n v="4.6496560072975902E-2"/>
    <n v="2.4816145840195491E-2"/>
  </r>
  <r>
    <x v="1"/>
    <s v="100 - 125 ARPU"/>
    <n v="931407"/>
    <n v="104183803.83989845"/>
    <n v="4.8263543706186358E-2"/>
    <n v="5.9741141884592341E-2"/>
    <n v="111.85636766730168"/>
    <n v="65997"/>
    <n v="51037"/>
    <n v="42475"/>
    <n v="33004"/>
    <n v="18162"/>
    <n v="7.0857315867284651E-2"/>
    <n v="5.479559419244219E-2"/>
    <n v="4.5603050009287022E-2"/>
    <n v="3.5434562978375723E-2"/>
    <n v="1.9499531354177067E-2"/>
  </r>
  <r>
    <x v="2"/>
    <s v="125 - 150 ARPU"/>
    <n v="698322"/>
    <n v="95603790.242301911"/>
    <n v="3.6185571257239285E-2"/>
    <n v="5.4821185127269113E-2"/>
    <n v="136.90502410392614"/>
    <n v="39887"/>
    <n v="31077"/>
    <n v="25819"/>
    <n v="20239"/>
    <n v="11316"/>
    <n v="5.7118349414739908E-2"/>
    <n v="4.4502392878929778E-2"/>
    <n v="3.6972915073562054E-2"/>
    <n v="2.8982331932833276E-2"/>
    <n v="1.6204558928402658E-2"/>
  </r>
  <r>
    <x v="2"/>
    <s v="150 - 200 ARPU"/>
    <n v="957316"/>
    <n v="165619456.08844402"/>
    <n v="4.9606093369098041E-2"/>
    <n v="9.496961197763068E-2"/>
    <n v="173.003956988543"/>
    <n v="42890"/>
    <n v="33490"/>
    <n v="27854"/>
    <n v="21912"/>
    <n v="12494"/>
    <n v="4.4802343217913418E-2"/>
    <n v="3.498322393023829E-2"/>
    <n v="2.909593070626627E-2"/>
    <n v="2.2888993811865675E-2"/>
    <n v="1.305107195534181E-2"/>
  </r>
  <r>
    <x v="2"/>
    <s v="200 - 300 ARPU"/>
    <n v="1035424"/>
    <n v="252238599.38587132"/>
    <n v="5.3653484973201084E-2"/>
    <n v="0.14463881524079389"/>
    <n v="243.60899436933209"/>
    <n v="31727"/>
    <n v="25104"/>
    <n v="20874"/>
    <n v="16646"/>
    <n v="9616"/>
    <n v="3.0641553605093179E-2"/>
    <n v="2.4245140155144174E-2"/>
    <n v="2.0159857217912663E-2"/>
    <n v="1.6076505856537998E-2"/>
    <n v="9.2870167197206168E-3"/>
  </r>
  <r>
    <x v="3"/>
    <s v="300 - 500 ARPU"/>
    <n v="802037"/>
    <n v="305552534.99602968"/>
    <n v="4.1559863522046311E-2"/>
    <n v="0.17521012550517054"/>
    <n v="380.97062229801077"/>
    <n v="15366"/>
    <n v="12308"/>
    <n v="10197"/>
    <n v="8240"/>
    <n v="5010"/>
    <n v="1.9158717116542004E-2"/>
    <n v="1.5345925437355135E-2"/>
    <n v="1.2713877289950463E-2"/>
    <n v="1.0273840234303404E-2"/>
    <n v="6.2465946084781622E-3"/>
  </r>
  <r>
    <x v="3"/>
    <s v="GT 500"/>
    <n v="534378"/>
    <n v="426206013.15944153"/>
    <n v="2.7690339409757982E-2"/>
    <n v="0.24439531832944683"/>
    <n v="797.57402654944917"/>
    <n v="5713"/>
    <n v="4551"/>
    <n v="3710"/>
    <n v="3013"/>
    <n v="1939"/>
    <n v="1.0690934132767442E-2"/>
    <n v="8.5164434164580124E-3"/>
    <n v="6.9426510821927545E-3"/>
    <n v="5.6383309193117981E-3"/>
    <n v="3.6285176410705529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02FC1-0E30-4CFA-B424-64FA802E8809}" name="PivotTable1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7" firstHeaderRow="0" firstDataRow="1" firstDataCol="1" rowPageCount="1" colPageCount="1"/>
  <pivotFields count="24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axis="axisPage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2">
    <field x="22"/>
    <field x="0"/>
  </rowFields>
  <rowItems count="4"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3" hier="-1"/>
  </pageFields>
  <dataFields count="6">
    <dataField name="Sum of SEG_CNT" fld="2" baseField="0" baseItem="0"/>
    <dataField name="Sum of CNT_DOLA_7INC" fld="17" baseField="0" baseItem="0"/>
    <dataField name="Sum of CNT_DOLA_15INC" fld="18" baseField="0" baseItem="0"/>
    <dataField name="Sum of CNT_DOLA_30INC" fld="19" baseField="0" baseItem="0"/>
    <dataField name="Sum of CNT_DOLA_60INC" fld="20" baseField="0" baseItem="0"/>
    <dataField name="Sum of CNT_DOLA_90INC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EBC68-0115-4512-B127-6FF97245DFC5}" name="PivotTable16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F4:L18" firstHeaderRow="1" firstDataRow="2" firstDataCol="2" rowPageCount="2" colPageCount="1"/>
  <pivotFields count="30">
    <pivotField axis="axisPage" compact="0" numFmtId="14" outline="0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compact="0" outline="0" showAll="0"/>
    <pivotField dataField="1" compact="0" outline="0" showAll="0"/>
    <pivotField axis="axisPage" compact="0" outline="0" multipleItemSelectionAllowed="1" showAll="0">
      <items count="7">
        <item h="1" x="0"/>
        <item x="1"/>
        <item x="2"/>
        <item x="3"/>
        <item x="4"/>
        <item x="5"/>
        <item t="default"/>
      </items>
    </pivotField>
    <pivotField axis="axisRow" compact="0" outline="0" showAll="0">
      <items count="13">
        <item x="11"/>
        <item x="0"/>
        <item x="1"/>
        <item x="6"/>
        <item x="8"/>
        <item x="9"/>
        <item x="2"/>
        <item x="3"/>
        <item x="4"/>
        <item x="5"/>
        <item x="7"/>
        <item x="1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22"/>
    <field x="4"/>
  </rowFields>
  <rowItems count="13">
    <i>
      <x/>
      <x/>
    </i>
    <i r="1">
      <x v="1"/>
    </i>
    <i r="1">
      <x v="2"/>
    </i>
    <i>
      <x v="1"/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>
      <x v="3"/>
      <x v="10"/>
    </i>
    <i r="1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3" hier="-1"/>
    <pageField fld="0" hier="-1"/>
  </pageFields>
  <dataFields count="5">
    <dataField name="Sum of SEG_CNT" fld="2" baseField="0" baseItem="0"/>
    <dataField name="Sum of AVGL3MREV" fld="5" baseField="0" baseItem="0"/>
    <dataField name="Sum of ARPU" fld="24" baseField="0" baseItem="0"/>
    <dataField name="Sum of SEG_CNT2" fld="2" showDataAs="percentOfCol" baseField="0" baseItem="0" numFmtId="10"/>
    <dataField name="Sum of AVGL3MREV2" fld="5" showDataAs="percentOfCol" baseField="0" baseItem="0" numFmtId="10"/>
  </dataFields>
  <formats count="9">
    <format dxfId="58">
      <pivotArea outline="0" fieldPosition="0">
        <references count="2">
          <reference field="4" count="3" selected="0">
            <x v="0"/>
            <x v="1"/>
            <x v="2"/>
          </reference>
          <reference field="22" count="1" selected="0">
            <x v="0"/>
          </reference>
        </references>
      </pivotArea>
    </format>
    <format dxfId="57">
      <pivotArea dataOnly="0" labelOnly="1" outline="0" fieldPosition="0">
        <references count="1">
          <reference field="22" count="1">
            <x v="0"/>
          </reference>
        </references>
      </pivotArea>
    </format>
    <format dxfId="56">
      <pivotArea dataOnly="0" labelOnly="1" outline="0" fieldPosition="0">
        <references count="2">
          <reference field="4" count="3">
            <x v="0"/>
            <x v="1"/>
            <x v="2"/>
          </reference>
          <reference field="22" count="1" selected="0">
            <x v="0"/>
          </reference>
        </references>
      </pivotArea>
    </format>
    <format dxfId="55">
      <pivotArea outline="0" fieldPosition="0">
        <references count="2">
          <reference field="4" count="0" selected="0"/>
          <reference field="22" count="0" selected="0"/>
        </references>
      </pivotArea>
    </format>
    <format dxfId="54">
      <pivotArea dataOnly="0" labelOnly="1" outline="0" fieldPosition="0">
        <references count="1">
          <reference field="22" count="0"/>
        </references>
      </pivotArea>
    </format>
    <format dxfId="53">
      <pivotArea dataOnly="0" labelOnly="1" outline="0" fieldPosition="0">
        <references count="2">
          <reference field="4" count="3">
            <x v="0"/>
            <x v="1"/>
            <x v="2"/>
          </reference>
          <reference field="22" count="1" selected="0">
            <x v="0"/>
          </reference>
        </references>
      </pivotArea>
    </format>
    <format dxfId="52">
      <pivotArea dataOnly="0" labelOnly="1" outline="0" fieldPosition="0">
        <references count="2">
          <reference field="4" count="4">
            <x v="3"/>
            <x v="4"/>
            <x v="5"/>
            <x v="6"/>
          </reference>
          <reference field="22" count="1" selected="0">
            <x v="1"/>
          </reference>
        </references>
      </pivotArea>
    </format>
    <format dxfId="51">
      <pivotArea dataOnly="0" labelOnly="1" outline="0" fieldPosition="0">
        <references count="2">
          <reference field="4" count="3">
            <x v="7"/>
            <x v="8"/>
            <x v="9"/>
          </reference>
          <reference field="22" count="1" selected="0">
            <x v="2"/>
          </reference>
        </references>
      </pivotArea>
    </format>
    <format dxfId="50">
      <pivotArea dataOnly="0" labelOnly="1" outline="0" fieldPosition="0">
        <references count="2">
          <reference field="4" count="2">
            <x v="10"/>
            <x v="11"/>
          </reference>
          <reference field="22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01BDC-3AC2-40A9-844A-66C39503C402}" name="PivotTable16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B4:H18" firstHeaderRow="1" firstDataRow="2" firstDataCol="2" rowPageCount="2" colPageCount="1"/>
  <pivotFields count="30">
    <pivotField axis="axisPage" compact="0" numFmtId="14" outline="0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compact="0" outline="0" showAll="0"/>
    <pivotField dataField="1" compact="0" outline="0" showAll="0"/>
    <pivotField axis="axisPage" compact="0" outline="0" multipleItemSelectionAllowed="1" showAll="0">
      <items count="7">
        <item h="1" x="0"/>
        <item x="1"/>
        <item x="2"/>
        <item x="3"/>
        <item x="4"/>
        <item x="5"/>
        <item t="default"/>
      </items>
    </pivotField>
    <pivotField axis="axisRow" compact="0" outline="0" showAll="0">
      <items count="13">
        <item x="11"/>
        <item x="0"/>
        <item x="1"/>
        <item x="6"/>
        <item x="8"/>
        <item x="9"/>
        <item x="2"/>
        <item x="3"/>
        <item x="4"/>
        <item x="5"/>
        <item x="7"/>
        <item x="1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22"/>
    <field x="4"/>
  </rowFields>
  <rowItems count="13">
    <i>
      <x/>
      <x/>
    </i>
    <i r="1">
      <x v="1"/>
    </i>
    <i r="1">
      <x v="2"/>
    </i>
    <i>
      <x v="1"/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>
      <x v="3"/>
      <x v="10"/>
    </i>
    <i r="1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3" hier="-1"/>
    <pageField fld="0" hier="-1"/>
  </pageFields>
  <dataFields count="5">
    <dataField name="Sum of SEG_CNT" fld="2" baseField="0" baseItem="0"/>
    <dataField name="Sum of AVGL3MREV" fld="5" baseField="0" baseItem="0"/>
    <dataField name="Sum of ARPU" fld="24" baseField="0" baseItem="0"/>
    <dataField name="Sum of SEG_CNT2" fld="2" showDataAs="percentOfCol" baseField="0" baseItem="0" numFmtId="10"/>
    <dataField name="Sum of AVGL3MREV2" fld="5" showDataAs="percentOfCol" baseField="0" baseItem="0" numFmtId="10"/>
  </dataFields>
  <formats count="9">
    <format dxfId="18">
      <pivotArea outline="0" fieldPosition="0">
        <references count="2">
          <reference field="4" count="3" selected="0">
            <x v="0"/>
            <x v="1"/>
            <x v="2"/>
          </reference>
          <reference field="22" count="1" selected="0">
            <x v="0"/>
          </reference>
        </references>
      </pivotArea>
    </format>
    <format dxfId="19">
      <pivotArea dataOnly="0" labelOnly="1" outline="0" fieldPosition="0">
        <references count="1">
          <reference field="22" count="1">
            <x v="0"/>
          </reference>
        </references>
      </pivotArea>
    </format>
    <format dxfId="20">
      <pivotArea dataOnly="0" labelOnly="1" outline="0" fieldPosition="0">
        <references count="2">
          <reference field="4" count="3">
            <x v="0"/>
            <x v="1"/>
            <x v="2"/>
          </reference>
          <reference field="22" count="1" selected="0">
            <x v="0"/>
          </reference>
        </references>
      </pivotArea>
    </format>
    <format dxfId="21">
      <pivotArea outline="0" fieldPosition="0">
        <references count="2">
          <reference field="4" count="0" selected="0"/>
          <reference field="22" count="0" selected="0"/>
        </references>
      </pivotArea>
    </format>
    <format dxfId="22">
      <pivotArea dataOnly="0" labelOnly="1" outline="0" fieldPosition="0">
        <references count="1">
          <reference field="22" count="0"/>
        </references>
      </pivotArea>
    </format>
    <format dxfId="23">
      <pivotArea dataOnly="0" labelOnly="1" outline="0" fieldPosition="0">
        <references count="2">
          <reference field="4" count="3">
            <x v="0"/>
            <x v="1"/>
            <x v="2"/>
          </reference>
          <reference field="22" count="1" selected="0">
            <x v="0"/>
          </reference>
        </references>
      </pivotArea>
    </format>
    <format dxfId="24">
      <pivotArea dataOnly="0" labelOnly="1" outline="0" fieldPosition="0">
        <references count="2">
          <reference field="4" count="4">
            <x v="3"/>
            <x v="4"/>
            <x v="5"/>
            <x v="6"/>
          </reference>
          <reference field="22" count="1" selected="0">
            <x v="1"/>
          </reference>
        </references>
      </pivotArea>
    </format>
    <format dxfId="25">
      <pivotArea dataOnly="0" labelOnly="1" outline="0" fieldPosition="0">
        <references count="2">
          <reference field="4" count="3">
            <x v="7"/>
            <x v="8"/>
            <x v="9"/>
          </reference>
          <reference field="22" count="1" selected="0">
            <x v="2"/>
          </reference>
        </references>
      </pivotArea>
    </format>
    <format dxfId="26">
      <pivotArea dataOnly="0" labelOnly="1" outline="0" fieldPosition="0">
        <references count="2">
          <reference field="4" count="2">
            <x v="10"/>
            <x v="11"/>
          </reference>
          <reference field="22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EFCF8-BC2B-46DF-8146-E8DDFBC109C1}" name="PivotTable1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B4:M18" firstHeaderRow="1" firstDataRow="2" firstDataCol="2" rowPageCount="2" colPageCount="1"/>
  <pivotFields count="30">
    <pivotField axis="axisPage" compact="0" numFmtId="14" outline="0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compact="0" outline="0" showAll="0"/>
    <pivotField dataField="1" compact="0" outline="0" showAll="0"/>
    <pivotField axis="axisPage" compact="0" outline="0" multipleItemSelectionAllowed="1" showAll="0">
      <items count="7">
        <item h="1" x="0"/>
        <item x="1"/>
        <item x="2"/>
        <item x="3"/>
        <item x="4"/>
        <item x="5"/>
        <item t="default"/>
      </items>
    </pivotField>
    <pivotField axis="axisRow" compact="0" outline="0" showAll="0">
      <items count="13">
        <item x="11"/>
        <item x="0"/>
        <item x="1"/>
        <item x="6"/>
        <item x="8"/>
        <item x="9"/>
        <item x="2"/>
        <item x="3"/>
        <item x="4"/>
        <item x="5"/>
        <item x="7"/>
        <item x="1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22"/>
    <field x="4"/>
  </rowFields>
  <rowItems count="13">
    <i>
      <x/>
      <x/>
    </i>
    <i r="1">
      <x v="1"/>
    </i>
    <i r="1">
      <x v="2"/>
    </i>
    <i>
      <x v="1"/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>
      <x v="3"/>
      <x v="10"/>
    </i>
    <i r="1">
      <x v="1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2">
    <pageField fld="3" hier="-1"/>
    <pageField fld="0" hier="-1"/>
  </pageFields>
  <dataFields count="10">
    <dataField name="Sum of SEG_CNT" fld="2" baseField="0" baseItem="0"/>
    <dataField name="Sum of AVGL3MREV" fld="5" baseField="0" baseItem="0"/>
    <dataField name="Sum of ARPU" fld="24" baseField="0" baseItem="0"/>
    <dataField name="Sum of SEG_CNT2" fld="2" showDataAs="percentOfCol" baseField="0" baseItem="0" numFmtId="10"/>
    <dataField name="Sum of AVGL3MREV2" fld="5" showDataAs="percentOfCol" baseField="0" baseItem="0" numFmtId="10"/>
    <dataField name="Sum of CNT_DOLA_7INC" fld="17" baseField="0" baseItem="0"/>
    <dataField name="Sum of CNT_DOLA_15INC" fld="18" baseField="0" baseItem="0"/>
    <dataField name="Sum of CNT_DOLA_30INC" fld="19" baseField="0" baseItem="0"/>
    <dataField name="Sum of CNT_DOLA_60INC" fld="20" baseField="0" baseItem="0"/>
    <dataField name="Sum of CNT_DOLA_90INC" fld="21" baseField="0" baseItem="0"/>
  </dataFields>
  <formats count="3">
    <format dxfId="45">
      <pivotArea collapsedLevelsAreSubtotals="1" fieldPosition="0">
        <references count="2">
          <reference field="4294967294" count="1" selected="0">
            <x v="2"/>
          </reference>
          <reference field="4" count="0"/>
        </references>
      </pivotArea>
    </format>
    <format dxfId="44">
      <pivotArea outline="0" fieldPosition="0">
        <references count="1">
          <reference field="4294967294" count="1">
            <x v="3"/>
          </reference>
        </references>
      </pivotArea>
    </format>
    <format dxfId="43">
      <pivotArea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8273C-D830-4647-8064-F6F3358CB836}" name="PivotTable1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AURAV_OLD_for  comparison">
  <location ref="B25:F30" firstHeaderRow="0" firstDataRow="1" firstDataCol="1"/>
  <pivotFields count="17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um of SEG_CNT" fld="2" baseField="0" baseItem="0"/>
    <dataField name="Sum of  SEG_CNT" fld="4" baseField="0" baseItem="0"/>
    <dataField name="Sum of Sum of AVGL3MREV" fld="3" baseField="0" baseItem="0"/>
    <dataField name="Sum of  AVGL3MREV" fld="5" baseField="0" baseItem="0"/>
  </dataFields>
  <formats count="4">
    <format dxfId="49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48">
      <pivotArea collapsedLevelsAreSubtotals="1" fieldPosition="0">
        <references count="2">
          <reference field="4294967294" count="1" selected="0">
            <x v="3"/>
          </reference>
          <reference field="0" count="0"/>
        </references>
      </pivotArea>
    </format>
    <format dxfId="47">
      <pivotArea field="0" type="button" dataOnly="0" labelOnly="1" outline="0" axis="axisRow" fieldPosition="0"/>
    </format>
    <format dxfId="46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E2A02-EBBB-4B7B-BECF-8E7CFD3BF858}" name="PivotTable1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5:Q10" firstHeaderRow="0" firstDataRow="1" firstDataCol="1" rowPageCount="3" colPageCount="1"/>
  <pivotFields count="30">
    <pivotField axis="axisPage" numFmtId="14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showAll="0"/>
    <pivotField dataField="1" showAll="0"/>
    <pivotField axis="axisPage" multipleItemSelectionAllowed="1" showAll="0">
      <items count="7">
        <item h="1" x="0"/>
        <item x="1"/>
        <item x="2"/>
        <item x="3"/>
        <item x="4"/>
        <item x="5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3">
    <pageField fld="3" hier="-1"/>
    <pageField fld="0" hier="-1"/>
    <pageField fld="4" hier="-1"/>
  </pageFields>
  <dataFields count="15">
    <dataField name="Sum of SEG_CNT" fld="2" baseField="0" baseItem="0"/>
    <dataField name="Sum of AVGL3MREV" fld="5" baseField="0" baseItem="0"/>
    <dataField name="Sum of SEG_CNT2" fld="2" showDataAs="percentOfCol" baseField="0" baseItem="0" numFmtId="10"/>
    <dataField name="Sum of AVGL3MREV2" fld="5" showDataAs="percentOfCol" baseField="0" baseItem="0" numFmtId="10"/>
    <dataField name="Sum of ARPU" fld="24" baseField="0" baseItem="0" numFmtId="167"/>
    <dataField name="Sum of CNT_DOLA_7INC" fld="17" baseField="0" baseItem="0"/>
    <dataField name="Sum of CNT_DOLA_15INC" fld="18" baseField="0" baseItem="0"/>
    <dataField name="Sum of CNT_DOLA_30INC" fld="19" baseField="0" baseItem="0"/>
    <dataField name="Sum of CNT_DOLA_60INC" fld="20" baseField="0" baseItem="0"/>
    <dataField name="Sum of CNT_DOLA_90INC" fld="21" baseField="0" baseItem="0"/>
    <dataField name="Sum of 7DI%" fld="25" baseField="0" baseItem="0" numFmtId="10"/>
    <dataField name="Sum of 15DI%" fld="26" baseField="0" baseItem="0" numFmtId="10"/>
    <dataField name="Sum of 30DI%" fld="27" baseField="0" baseItem="0" numFmtId="10"/>
    <dataField name="Sum of 60DI%" fld="28" baseField="0" baseItem="0" numFmtId="10"/>
    <dataField name="Sum of 90DI%" fld="29" baseField="0" baseItem="0" numFmtId="10"/>
  </dataFields>
  <formats count="6">
    <format dxfId="37">
      <pivotArea outline="0" collapsedLevelsAreSubtotals="1" fieldPosition="0">
        <references count="1">
          <reference field="4294967294" count="5" selected="0">
            <x v="10"/>
            <x v="11"/>
            <x v="12"/>
            <x v="13"/>
            <x v="14"/>
          </reference>
        </references>
      </pivotArea>
    </format>
    <format dxfId="38">
      <pivotArea outline="0" fieldPosition="0">
        <references count="1">
          <reference field="4294967294" count="1">
            <x v="2"/>
          </reference>
        </references>
      </pivotArea>
    </format>
    <format dxfId="39">
      <pivotArea outline="0" fieldPosition="0">
        <references count="1">
          <reference field="4294967294" count="1">
            <x v="3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11"/>
          </reference>
          <reference field="22" count="1">
            <x v="1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11"/>
          </reference>
          <reference field="2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78199-09B4-4D70-8B62-EEDC14B386E0}" name="PivotTable1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5:Q10" firstHeaderRow="0" firstDataRow="1" firstDataCol="1" rowPageCount="3" colPageCount="1"/>
  <pivotFields count="30">
    <pivotField axis="axisPage" numFmtId="14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showAll="0"/>
    <pivotField dataField="1" showAll="0"/>
    <pivotField axis="axisPage" multipleItemSelectionAllowed="1" showAll="0">
      <items count="7">
        <item h="1" x="0"/>
        <item x="1"/>
        <item x="2"/>
        <item x="3"/>
        <item x="4"/>
        <item x="5"/>
        <item t="default"/>
      </items>
    </pivotField>
    <pivotField axis="axisRow" showAll="0">
      <items count="13">
        <item x="0"/>
        <item x="1"/>
        <item x="3"/>
        <item x="4"/>
        <item x="5"/>
        <item x="6"/>
        <item x="7"/>
        <item x="8"/>
        <item x="9"/>
        <item x="10"/>
        <item x="1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4"/>
  </rowFields>
  <rowItems count="5">
    <i>
      <x v="5"/>
    </i>
    <i>
      <x v="7"/>
    </i>
    <i>
      <x v="8"/>
    </i>
    <i>
      <x v="11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3">
    <pageField fld="3" hier="-1"/>
    <pageField fld="22" hier="-1"/>
    <pageField fld="0" hier="-1"/>
  </pageFields>
  <dataFields count="15">
    <dataField name="Sum of SEG_CNT" fld="2" baseField="0" baseItem="0"/>
    <dataField name="Sum of AVGL3MREV" fld="5" baseField="0" baseItem="0"/>
    <dataField name="Sum of SEG_CNT2" fld="2" showDataAs="percentOfCol" baseField="0" baseItem="0" numFmtId="10"/>
    <dataField name="Sum of AVGL3MREV2" fld="5" showDataAs="percentOfCol" baseField="0" baseItem="0" numFmtId="10"/>
    <dataField name="Sum of ARPU" fld="24" baseField="0" baseItem="0" numFmtId="167"/>
    <dataField name="Sum of CNT_DOLA_7INC" fld="17" baseField="0" baseItem="0"/>
    <dataField name="Sum of CNT_DOLA_15INC" fld="18" baseField="0" baseItem="0"/>
    <dataField name="Sum of CNT_DOLA_30INC" fld="19" baseField="0" baseItem="0"/>
    <dataField name="Sum of CNT_DOLA_60INC" fld="20" baseField="0" baseItem="0"/>
    <dataField name="Sum of CNT_DOLA_90INC" fld="21" baseField="0" baseItem="0"/>
    <dataField name="Sum of 7DI%" fld="25" baseField="0" baseItem="0" numFmtId="10"/>
    <dataField name="Sum of 15DI%" fld="26" baseField="0" baseItem="0" numFmtId="10"/>
    <dataField name="Sum of 30DI%" fld="27" baseField="0" baseItem="0" numFmtId="10"/>
    <dataField name="Sum of 60DI%" fld="28" baseField="0" baseItem="0" numFmtId="10"/>
    <dataField name="Sum of 90DI%" fld="29" baseField="0" baseItem="0" numFmtId="10"/>
  </dataFields>
  <formats count="4">
    <format dxfId="33">
      <pivotArea outline="0" collapsedLevelsAreSubtotals="1" fieldPosition="0">
        <references count="1">
          <reference field="4294967294" count="5" selected="0">
            <x v="10"/>
            <x v="11"/>
            <x v="12"/>
            <x v="13"/>
            <x v="14"/>
          </reference>
        </references>
      </pivotArea>
    </format>
    <format dxfId="34">
      <pivotArea outline="0" fieldPosition="0">
        <references count="1">
          <reference field="4294967294" count="1">
            <x v="2"/>
          </reference>
        </references>
      </pivotArea>
    </format>
    <format dxfId="35">
      <pivotArea outline="0" fieldPosition="0">
        <references count="1">
          <reference field="4294967294" count="1">
            <x v="3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5471A-2276-4F7A-83B9-ADA779110F7C}" name="PivotTable1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5:Q22" firstHeaderRow="0" firstDataRow="1" firstDataCol="1" rowPageCount="2" colPageCount="1"/>
  <pivotFields count="30">
    <pivotField axis="axisPage" numFmtId="14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showAll="0"/>
    <pivotField dataField="1" showAll="0"/>
    <pivotField axis="axisPage" multipleItemSelectionAllowed="1" showAll="0">
      <items count="7">
        <item h="1" x="0"/>
        <item x="1"/>
        <item x="2"/>
        <item x="3"/>
        <item x="4"/>
        <item x="5"/>
        <item t="default"/>
      </items>
    </pivotField>
    <pivotField axis="axisRow" showAll="0">
      <items count="13">
        <item x="11"/>
        <item x="0"/>
        <item x="1"/>
        <item x="6"/>
        <item x="8"/>
        <item x="9"/>
        <item x="2"/>
        <item x="3"/>
        <item x="4"/>
        <item x="5"/>
        <item x="7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22"/>
    <field x="4"/>
  </rowFields>
  <rowItems count="17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>
      <x v="2"/>
    </i>
    <i r="1">
      <x v="7"/>
    </i>
    <i r="1">
      <x v="8"/>
    </i>
    <i r="1">
      <x v="9"/>
    </i>
    <i>
      <x v="3"/>
    </i>
    <i r="1">
      <x v="10"/>
    </i>
    <i r="1">
      <x v="11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3" hier="-1"/>
    <pageField fld="0" hier="-1"/>
  </pageFields>
  <dataFields count="15">
    <dataField name="Sum of SEG_CNT" fld="2" baseField="0" baseItem="0"/>
    <dataField name="Sum of AVGL3MREV" fld="5" baseField="0" baseItem="0"/>
    <dataField name="Sum of SEG_CNT2" fld="2" showDataAs="percentOfCol" baseField="0" baseItem="0" numFmtId="10"/>
    <dataField name="Sum of AVGL3MREV2" fld="5" showDataAs="percentOfCol" baseField="0" baseItem="0" numFmtId="10"/>
    <dataField name="Sum of ARPU" fld="24" baseField="0" baseItem="0" numFmtId="167"/>
    <dataField name="Sum of CNT_DOLA_7INC" fld="17" baseField="0" baseItem="0"/>
    <dataField name="Sum of CNT_DOLA_15INC" fld="18" baseField="0" baseItem="0"/>
    <dataField name="Sum of CNT_DOLA_30INC" fld="19" baseField="0" baseItem="0"/>
    <dataField name="Sum of CNT_DOLA_60INC" fld="20" baseField="0" baseItem="0"/>
    <dataField name="Sum of CNT_DOLA_90INC" fld="21" baseField="0" baseItem="0"/>
    <dataField name="Sum of 7DI%" fld="25" baseField="0" baseItem="0" numFmtId="10"/>
    <dataField name="Sum of 15DI%" fld="26" baseField="0" baseItem="0" numFmtId="10"/>
    <dataField name="Sum of 30DI%" fld="27" baseField="0" baseItem="0" numFmtId="10"/>
    <dataField name="Sum of 60DI%" fld="28" baseField="0" baseItem="0" numFmtId="10"/>
    <dataField name="Sum of 90DI%" fld="29" baseField="0" baseItem="0" numFmtId="10"/>
  </dataFields>
  <formats count="6">
    <format dxfId="27">
      <pivotArea outline="0" collapsedLevelsAreSubtotals="1" fieldPosition="0">
        <references count="1">
          <reference field="4294967294" count="5" selected="0">
            <x v="10"/>
            <x v="11"/>
            <x v="12"/>
            <x v="13"/>
            <x v="14"/>
          </reference>
        </references>
      </pivotArea>
    </format>
    <format dxfId="28">
      <pivotArea outline="0" fieldPosition="0">
        <references count="1">
          <reference field="4294967294" count="1">
            <x v="2"/>
          </reference>
        </references>
      </pivotArea>
    </format>
    <format dxfId="29">
      <pivotArea outline="0" fieldPosition="0">
        <references count="1">
          <reference field="4294967294" count="1">
            <x v="3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11"/>
          </reference>
          <reference field="22" count="1">
            <x v="1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11"/>
          </reference>
          <reference field="2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E17E-E57A-4897-9E4C-C842C1C36A7F}">
  <dimension ref="A1:L139"/>
  <sheetViews>
    <sheetView workbookViewId="0"/>
  </sheetViews>
  <sheetFormatPr defaultRowHeight="14.5" x14ac:dyDescent="0.35"/>
  <cols>
    <col min="1" max="3" width="23.453125" customWidth="1"/>
  </cols>
  <sheetData>
    <row r="1" spans="1:12" x14ac:dyDescent="0.35">
      <c r="A1" t="s">
        <v>49</v>
      </c>
      <c r="B1" t="s">
        <v>50</v>
      </c>
      <c r="C1" t="s">
        <v>51</v>
      </c>
      <c r="F1" s="87" t="s">
        <v>190</v>
      </c>
      <c r="G1" s="88"/>
      <c r="H1" s="88"/>
      <c r="I1" s="88"/>
      <c r="J1" s="88"/>
      <c r="K1" s="88"/>
      <c r="L1" s="88"/>
    </row>
    <row r="2" spans="1:12" x14ac:dyDescent="0.35">
      <c r="A2" t="s">
        <v>52</v>
      </c>
      <c r="B2">
        <v>0</v>
      </c>
      <c r="C2">
        <v>0</v>
      </c>
      <c r="F2" s="88"/>
      <c r="G2" s="88"/>
      <c r="H2" s="88"/>
      <c r="I2" s="88"/>
      <c r="J2" s="88"/>
      <c r="K2" s="88"/>
      <c r="L2" s="88"/>
    </row>
    <row r="3" spans="1:12" x14ac:dyDescent="0.35">
      <c r="A3" t="s">
        <v>53</v>
      </c>
      <c r="B3">
        <v>0</v>
      </c>
      <c r="C3">
        <v>0</v>
      </c>
      <c r="F3" s="88"/>
      <c r="G3" s="88"/>
      <c r="H3" s="88"/>
      <c r="I3" s="88"/>
      <c r="J3" s="88"/>
      <c r="K3" s="88"/>
      <c r="L3" s="88"/>
    </row>
    <row r="4" spans="1:12" x14ac:dyDescent="0.35">
      <c r="A4" t="s">
        <v>54</v>
      </c>
      <c r="B4">
        <v>0</v>
      </c>
      <c r="C4">
        <v>0</v>
      </c>
      <c r="F4" s="88"/>
      <c r="G4" s="88"/>
      <c r="H4" s="88"/>
      <c r="I4" s="88"/>
      <c r="J4" s="88"/>
      <c r="K4" s="88"/>
      <c r="L4" s="88"/>
    </row>
    <row r="5" spans="1:12" x14ac:dyDescent="0.35">
      <c r="A5" t="s">
        <v>55</v>
      </c>
      <c r="B5">
        <v>0</v>
      </c>
      <c r="C5">
        <v>0</v>
      </c>
      <c r="F5" s="88"/>
      <c r="G5" s="88"/>
      <c r="H5" s="88"/>
      <c r="I5" s="88"/>
      <c r="J5" s="88"/>
      <c r="K5" s="88"/>
      <c r="L5" s="88"/>
    </row>
    <row r="6" spans="1:12" x14ac:dyDescent="0.35">
      <c r="A6" t="s">
        <v>56</v>
      </c>
      <c r="B6">
        <v>0</v>
      </c>
      <c r="C6">
        <v>0</v>
      </c>
      <c r="F6" s="88"/>
      <c r="G6" s="88"/>
      <c r="H6" s="88"/>
      <c r="I6" s="88"/>
      <c r="J6" s="88"/>
      <c r="K6" s="88"/>
      <c r="L6" s="88"/>
    </row>
    <row r="7" spans="1:12" x14ac:dyDescent="0.35">
      <c r="A7" t="s">
        <v>57</v>
      </c>
      <c r="B7">
        <v>0</v>
      </c>
      <c r="C7">
        <v>0</v>
      </c>
      <c r="F7" s="88"/>
      <c r="G7" s="88"/>
      <c r="H7" s="88"/>
      <c r="I7" s="88"/>
      <c r="J7" s="88"/>
      <c r="K7" s="88"/>
      <c r="L7" s="88"/>
    </row>
    <row r="8" spans="1:12" x14ac:dyDescent="0.35">
      <c r="A8" t="s">
        <v>58</v>
      </c>
      <c r="B8">
        <v>0</v>
      </c>
      <c r="C8">
        <v>0</v>
      </c>
      <c r="F8" s="88"/>
      <c r="G8" s="88"/>
      <c r="H8" s="88"/>
      <c r="I8" s="88"/>
      <c r="J8" s="88"/>
      <c r="K8" s="88"/>
      <c r="L8" s="88"/>
    </row>
    <row r="9" spans="1:12" x14ac:dyDescent="0.35">
      <c r="A9" t="s">
        <v>59</v>
      </c>
      <c r="B9">
        <v>0</v>
      </c>
      <c r="C9">
        <v>0</v>
      </c>
      <c r="F9" s="88"/>
      <c r="G9" s="88"/>
      <c r="H9" s="88"/>
      <c r="I9" s="88"/>
      <c r="J9" s="88"/>
      <c r="K9" s="88"/>
      <c r="L9" s="88"/>
    </row>
    <row r="10" spans="1:12" x14ac:dyDescent="0.35">
      <c r="A10" t="s">
        <v>60</v>
      </c>
      <c r="B10">
        <v>0</v>
      </c>
      <c r="C10">
        <v>0</v>
      </c>
      <c r="F10" s="88"/>
      <c r="G10" s="88"/>
      <c r="H10" s="88"/>
      <c r="I10" s="88"/>
      <c r="J10" s="88"/>
      <c r="K10" s="88"/>
      <c r="L10" s="88"/>
    </row>
    <row r="11" spans="1:12" x14ac:dyDescent="0.35">
      <c r="A11" t="s">
        <v>61</v>
      </c>
      <c r="B11">
        <v>0</v>
      </c>
      <c r="C11">
        <v>0</v>
      </c>
      <c r="F11" s="88"/>
      <c r="G11" s="88"/>
      <c r="H11" s="88"/>
      <c r="I11" s="88"/>
      <c r="J11" s="88"/>
      <c r="K11" s="88"/>
      <c r="L11" s="88"/>
    </row>
    <row r="12" spans="1:12" x14ac:dyDescent="0.35">
      <c r="A12" t="s">
        <v>62</v>
      </c>
      <c r="B12">
        <v>0</v>
      </c>
      <c r="C12">
        <v>0</v>
      </c>
      <c r="F12" s="88"/>
      <c r="G12" s="88"/>
      <c r="H12" s="88"/>
      <c r="I12" s="88"/>
      <c r="J12" s="88"/>
      <c r="K12" s="88"/>
      <c r="L12" s="88"/>
    </row>
    <row r="13" spans="1:12" x14ac:dyDescent="0.35">
      <c r="A13" t="s">
        <v>63</v>
      </c>
      <c r="B13">
        <v>0</v>
      </c>
      <c r="C13">
        <v>0</v>
      </c>
      <c r="F13" s="88"/>
      <c r="G13" s="88"/>
      <c r="H13" s="88"/>
      <c r="I13" s="88"/>
      <c r="J13" s="88"/>
      <c r="K13" s="88"/>
      <c r="L13" s="88"/>
    </row>
    <row r="14" spans="1:12" x14ac:dyDescent="0.35">
      <c r="A14" t="s">
        <v>64</v>
      </c>
      <c r="B14">
        <v>0</v>
      </c>
      <c r="C14">
        <v>0</v>
      </c>
      <c r="F14" s="88"/>
      <c r="G14" s="88"/>
      <c r="H14" s="88"/>
      <c r="I14" s="88"/>
      <c r="J14" s="88"/>
      <c r="K14" s="88"/>
      <c r="L14" s="88"/>
    </row>
    <row r="15" spans="1:12" x14ac:dyDescent="0.35">
      <c r="A15" t="s">
        <v>65</v>
      </c>
      <c r="B15">
        <v>0</v>
      </c>
      <c r="C15">
        <v>0</v>
      </c>
      <c r="F15" s="88"/>
      <c r="G15" s="88"/>
      <c r="H15" s="88"/>
      <c r="I15" s="88"/>
      <c r="J15" s="88"/>
      <c r="K15" s="88"/>
      <c r="L15" s="88"/>
    </row>
    <row r="16" spans="1:12" x14ac:dyDescent="0.35">
      <c r="A16" t="s">
        <v>66</v>
      </c>
      <c r="B16">
        <v>0</v>
      </c>
      <c r="C16">
        <v>0</v>
      </c>
      <c r="F16" s="88"/>
      <c r="G16" s="88"/>
      <c r="H16" s="88"/>
      <c r="I16" s="88"/>
      <c r="J16" s="88"/>
      <c r="K16" s="88"/>
      <c r="L16" s="88"/>
    </row>
    <row r="17" spans="1:12" x14ac:dyDescent="0.35">
      <c r="A17" t="s">
        <v>67</v>
      </c>
      <c r="B17">
        <v>0</v>
      </c>
      <c r="C17">
        <v>0</v>
      </c>
      <c r="F17" s="88"/>
      <c r="G17" s="88"/>
      <c r="H17" s="88"/>
      <c r="I17" s="88"/>
      <c r="J17" s="88"/>
      <c r="K17" s="88"/>
      <c r="L17" s="88"/>
    </row>
    <row r="18" spans="1:12" x14ac:dyDescent="0.35">
      <c r="A18" t="s">
        <v>68</v>
      </c>
      <c r="B18">
        <v>0</v>
      </c>
      <c r="C18">
        <v>0</v>
      </c>
      <c r="F18" s="88"/>
      <c r="G18" s="88"/>
      <c r="H18" s="88"/>
      <c r="I18" s="88"/>
      <c r="J18" s="88"/>
      <c r="K18" s="88"/>
      <c r="L18" s="88"/>
    </row>
    <row r="19" spans="1:12" x14ac:dyDescent="0.35">
      <c r="A19" t="s">
        <v>69</v>
      </c>
      <c r="B19">
        <v>0</v>
      </c>
      <c r="C19">
        <v>0</v>
      </c>
    </row>
    <row r="20" spans="1:12" x14ac:dyDescent="0.35">
      <c r="A20" t="s">
        <v>70</v>
      </c>
      <c r="B20">
        <v>0</v>
      </c>
      <c r="C20">
        <v>0</v>
      </c>
    </row>
    <row r="21" spans="1:12" x14ac:dyDescent="0.35">
      <c r="A21" t="s">
        <v>71</v>
      </c>
      <c r="B21">
        <v>0</v>
      </c>
      <c r="C21">
        <v>0</v>
      </c>
    </row>
    <row r="22" spans="1:12" x14ac:dyDescent="0.35">
      <c r="A22" t="s">
        <v>72</v>
      </c>
      <c r="B22">
        <v>0</v>
      </c>
      <c r="C22">
        <v>0</v>
      </c>
    </row>
    <row r="23" spans="1:12" x14ac:dyDescent="0.35">
      <c r="A23" t="s">
        <v>73</v>
      </c>
      <c r="B23">
        <v>0</v>
      </c>
      <c r="C23">
        <v>0</v>
      </c>
      <c r="F23" s="87" t="s">
        <v>191</v>
      </c>
      <c r="G23" s="88"/>
      <c r="H23" s="88"/>
      <c r="I23" s="88"/>
      <c r="J23" s="88"/>
      <c r="K23" s="88"/>
      <c r="L23" s="88"/>
    </row>
    <row r="24" spans="1:12" x14ac:dyDescent="0.35">
      <c r="A24" t="s">
        <v>74</v>
      </c>
      <c r="B24">
        <v>0</v>
      </c>
      <c r="C24">
        <v>0</v>
      </c>
      <c r="F24" s="88"/>
      <c r="G24" s="88"/>
      <c r="H24" s="88"/>
      <c r="I24" s="88"/>
      <c r="J24" s="88"/>
      <c r="K24" s="88"/>
      <c r="L24" s="88"/>
    </row>
    <row r="25" spans="1:12" x14ac:dyDescent="0.35">
      <c r="A25" t="s">
        <v>75</v>
      </c>
      <c r="B25">
        <v>0</v>
      </c>
      <c r="C25">
        <v>0</v>
      </c>
      <c r="F25" s="88"/>
      <c r="G25" s="88"/>
      <c r="H25" s="88"/>
      <c r="I25" s="88"/>
      <c r="J25" s="88"/>
      <c r="K25" s="88"/>
      <c r="L25" s="88"/>
    </row>
    <row r="26" spans="1:12" x14ac:dyDescent="0.35">
      <c r="A26" t="s">
        <v>76</v>
      </c>
      <c r="B26">
        <v>0</v>
      </c>
      <c r="C26">
        <v>0</v>
      </c>
      <c r="F26" s="88"/>
      <c r="G26" s="88"/>
      <c r="H26" s="88"/>
      <c r="I26" s="88"/>
      <c r="J26" s="88"/>
      <c r="K26" s="88"/>
      <c r="L26" s="88"/>
    </row>
    <row r="27" spans="1:12" x14ac:dyDescent="0.35">
      <c r="A27" t="s">
        <v>77</v>
      </c>
      <c r="B27">
        <v>0</v>
      </c>
      <c r="C27">
        <v>0</v>
      </c>
      <c r="F27" s="88"/>
      <c r="G27" s="88"/>
      <c r="H27" s="88"/>
      <c r="I27" s="88"/>
      <c r="J27" s="88"/>
      <c r="K27" s="88"/>
      <c r="L27" s="88"/>
    </row>
    <row r="28" spans="1:12" x14ac:dyDescent="0.35">
      <c r="A28" t="s">
        <v>78</v>
      </c>
      <c r="B28">
        <v>0</v>
      </c>
      <c r="C28">
        <v>0</v>
      </c>
      <c r="F28" s="88"/>
      <c r="G28" s="88"/>
      <c r="H28" s="88"/>
      <c r="I28" s="88"/>
      <c r="J28" s="88"/>
      <c r="K28" s="88"/>
      <c r="L28" s="88"/>
    </row>
    <row r="29" spans="1:12" x14ac:dyDescent="0.35">
      <c r="A29" t="s">
        <v>79</v>
      </c>
      <c r="B29">
        <v>0</v>
      </c>
      <c r="C29">
        <v>0</v>
      </c>
      <c r="F29" s="88"/>
      <c r="G29" s="88"/>
      <c r="H29" s="88"/>
      <c r="I29" s="88"/>
      <c r="J29" s="88"/>
      <c r="K29" s="88"/>
      <c r="L29" s="88"/>
    </row>
    <row r="30" spans="1:12" x14ac:dyDescent="0.35">
      <c r="A30" t="s">
        <v>80</v>
      </c>
      <c r="B30">
        <v>0</v>
      </c>
      <c r="C30">
        <v>0</v>
      </c>
      <c r="F30" s="88"/>
      <c r="G30" s="88"/>
      <c r="H30" s="88"/>
      <c r="I30" s="88"/>
      <c r="J30" s="88"/>
      <c r="K30" s="88"/>
      <c r="L30" s="88"/>
    </row>
    <row r="31" spans="1:12" x14ac:dyDescent="0.35">
      <c r="A31" t="s">
        <v>81</v>
      </c>
      <c r="B31">
        <v>0</v>
      </c>
      <c r="C31">
        <v>0</v>
      </c>
      <c r="F31" s="88"/>
      <c r="G31" s="88"/>
      <c r="H31" s="88"/>
      <c r="I31" s="88"/>
      <c r="J31" s="88"/>
      <c r="K31" s="88"/>
      <c r="L31" s="88"/>
    </row>
    <row r="32" spans="1:12" x14ac:dyDescent="0.35">
      <c r="A32" t="s">
        <v>82</v>
      </c>
      <c r="B32">
        <v>0</v>
      </c>
      <c r="C32">
        <v>0</v>
      </c>
      <c r="F32" s="88"/>
      <c r="G32" s="88"/>
      <c r="H32" s="88"/>
      <c r="I32" s="88"/>
      <c r="J32" s="88"/>
      <c r="K32" s="88"/>
      <c r="L32" s="88"/>
    </row>
    <row r="33" spans="1:12" x14ac:dyDescent="0.35">
      <c r="A33" t="s">
        <v>83</v>
      </c>
      <c r="B33">
        <v>0</v>
      </c>
      <c r="C33">
        <v>0</v>
      </c>
      <c r="F33" s="88"/>
      <c r="G33" s="88"/>
      <c r="H33" s="88"/>
      <c r="I33" s="88"/>
      <c r="J33" s="88"/>
      <c r="K33" s="88"/>
      <c r="L33" s="88"/>
    </row>
    <row r="34" spans="1:12" x14ac:dyDescent="0.35">
      <c r="A34" t="s">
        <v>84</v>
      </c>
      <c r="B34">
        <v>0</v>
      </c>
      <c r="C34">
        <v>0</v>
      </c>
      <c r="F34" s="88"/>
      <c r="G34" s="88"/>
      <c r="H34" s="88"/>
      <c r="I34" s="88"/>
      <c r="J34" s="88"/>
      <c r="K34" s="88"/>
      <c r="L34" s="88"/>
    </row>
    <row r="35" spans="1:12" x14ac:dyDescent="0.35">
      <c r="A35" t="s">
        <v>85</v>
      </c>
      <c r="B35">
        <v>0</v>
      </c>
      <c r="C35">
        <v>0</v>
      </c>
      <c r="F35" s="88"/>
      <c r="G35" s="88"/>
      <c r="H35" s="88"/>
      <c r="I35" s="88"/>
      <c r="J35" s="88"/>
      <c r="K35" s="88"/>
      <c r="L35" s="88"/>
    </row>
    <row r="36" spans="1:12" x14ac:dyDescent="0.35">
      <c r="A36" t="s">
        <v>86</v>
      </c>
      <c r="B36">
        <v>0</v>
      </c>
      <c r="C36">
        <v>0</v>
      </c>
      <c r="F36" s="88"/>
      <c r="G36" s="88"/>
      <c r="H36" s="88"/>
      <c r="I36" s="88"/>
      <c r="J36" s="88"/>
      <c r="K36" s="88"/>
      <c r="L36" s="88"/>
    </row>
    <row r="37" spans="1:12" x14ac:dyDescent="0.35">
      <c r="A37" t="s">
        <v>87</v>
      </c>
      <c r="B37">
        <v>0</v>
      </c>
      <c r="C37">
        <v>0</v>
      </c>
      <c r="F37" s="88"/>
      <c r="G37" s="88"/>
      <c r="H37" s="88"/>
      <c r="I37" s="88"/>
      <c r="J37" s="88"/>
      <c r="K37" s="88"/>
      <c r="L37" s="88"/>
    </row>
    <row r="38" spans="1:12" x14ac:dyDescent="0.35">
      <c r="A38" t="s">
        <v>88</v>
      </c>
      <c r="B38">
        <v>0</v>
      </c>
      <c r="C38">
        <v>0</v>
      </c>
      <c r="F38" s="88"/>
      <c r="G38" s="88"/>
      <c r="H38" s="88"/>
      <c r="I38" s="88"/>
      <c r="J38" s="88"/>
      <c r="K38" s="88"/>
      <c r="L38" s="88"/>
    </row>
    <row r="39" spans="1:12" x14ac:dyDescent="0.35">
      <c r="A39" t="s">
        <v>89</v>
      </c>
      <c r="B39">
        <v>0</v>
      </c>
      <c r="C39">
        <v>0</v>
      </c>
    </row>
    <row r="40" spans="1:12" x14ac:dyDescent="0.35">
      <c r="A40" t="s">
        <v>90</v>
      </c>
      <c r="B40">
        <v>0</v>
      </c>
      <c r="C40">
        <v>0</v>
      </c>
    </row>
    <row r="41" spans="1:12" x14ac:dyDescent="0.35">
      <c r="A41" t="s">
        <v>91</v>
      </c>
      <c r="B41">
        <v>0</v>
      </c>
      <c r="C41">
        <v>0</v>
      </c>
    </row>
    <row r="42" spans="1:12" x14ac:dyDescent="0.35">
      <c r="A42" t="s">
        <v>92</v>
      </c>
      <c r="B42">
        <v>0</v>
      </c>
      <c r="C42">
        <v>0</v>
      </c>
    </row>
    <row r="43" spans="1:12" x14ac:dyDescent="0.35">
      <c r="A43" t="s">
        <v>93</v>
      </c>
      <c r="B43">
        <v>0</v>
      </c>
      <c r="C43">
        <v>0</v>
      </c>
    </row>
    <row r="44" spans="1:12" x14ac:dyDescent="0.35">
      <c r="A44" t="s">
        <v>94</v>
      </c>
      <c r="B44">
        <v>0</v>
      </c>
      <c r="C44">
        <v>0</v>
      </c>
    </row>
    <row r="45" spans="1:12" x14ac:dyDescent="0.35">
      <c r="A45" t="s">
        <v>95</v>
      </c>
      <c r="B45">
        <v>0</v>
      </c>
      <c r="C45">
        <v>0</v>
      </c>
    </row>
    <row r="46" spans="1:12" x14ac:dyDescent="0.35">
      <c r="A46" t="s">
        <v>96</v>
      </c>
      <c r="B46">
        <v>0</v>
      </c>
      <c r="C46">
        <v>0</v>
      </c>
    </row>
    <row r="47" spans="1:12" x14ac:dyDescent="0.35">
      <c r="A47" t="s">
        <v>97</v>
      </c>
      <c r="B47">
        <v>0</v>
      </c>
      <c r="C47">
        <v>0</v>
      </c>
    </row>
    <row r="48" spans="1:12" x14ac:dyDescent="0.35">
      <c r="A48" t="s">
        <v>98</v>
      </c>
      <c r="B48">
        <v>0</v>
      </c>
      <c r="C48">
        <v>0</v>
      </c>
    </row>
    <row r="49" spans="1:3" x14ac:dyDescent="0.35">
      <c r="A49" t="s">
        <v>99</v>
      </c>
      <c r="B49">
        <v>0</v>
      </c>
      <c r="C49">
        <v>0</v>
      </c>
    </row>
    <row r="50" spans="1:3" x14ac:dyDescent="0.35">
      <c r="A50" t="s">
        <v>100</v>
      </c>
      <c r="B50">
        <v>0</v>
      </c>
      <c r="C50">
        <v>0</v>
      </c>
    </row>
    <row r="51" spans="1:3" x14ac:dyDescent="0.35">
      <c r="A51" t="s">
        <v>101</v>
      </c>
      <c r="B51">
        <v>0</v>
      </c>
      <c r="C51">
        <v>0</v>
      </c>
    </row>
    <row r="52" spans="1:3" x14ac:dyDescent="0.35">
      <c r="A52" t="s">
        <v>102</v>
      </c>
      <c r="B52">
        <v>0</v>
      </c>
      <c r="C52">
        <v>0</v>
      </c>
    </row>
    <row r="53" spans="1:3" x14ac:dyDescent="0.35">
      <c r="A53" t="s">
        <v>103</v>
      </c>
      <c r="B53">
        <v>0</v>
      </c>
      <c r="C53">
        <v>0</v>
      </c>
    </row>
    <row r="54" spans="1:3" x14ac:dyDescent="0.35">
      <c r="A54" t="s">
        <v>104</v>
      </c>
      <c r="B54">
        <v>0</v>
      </c>
      <c r="C54">
        <v>0</v>
      </c>
    </row>
    <row r="55" spans="1:3" x14ac:dyDescent="0.35">
      <c r="A55" t="s">
        <v>105</v>
      </c>
      <c r="B55">
        <v>0</v>
      </c>
      <c r="C55">
        <v>0</v>
      </c>
    </row>
    <row r="56" spans="1:3" x14ac:dyDescent="0.35">
      <c r="A56" t="s">
        <v>106</v>
      </c>
      <c r="B56">
        <v>0</v>
      </c>
      <c r="C56">
        <v>0</v>
      </c>
    </row>
    <row r="57" spans="1:3" x14ac:dyDescent="0.35">
      <c r="A57" t="s">
        <v>107</v>
      </c>
      <c r="B57">
        <v>0</v>
      </c>
      <c r="C57">
        <v>0</v>
      </c>
    </row>
    <row r="58" spans="1:3" x14ac:dyDescent="0.35">
      <c r="A58" t="s">
        <v>108</v>
      </c>
      <c r="B58">
        <v>0</v>
      </c>
      <c r="C58">
        <v>0</v>
      </c>
    </row>
    <row r="59" spans="1:3" x14ac:dyDescent="0.35">
      <c r="A59" t="s">
        <v>109</v>
      </c>
      <c r="B59">
        <v>0</v>
      </c>
      <c r="C59">
        <v>0</v>
      </c>
    </row>
    <row r="60" spans="1:3" x14ac:dyDescent="0.35">
      <c r="A60" t="s">
        <v>110</v>
      </c>
      <c r="B60">
        <v>0</v>
      </c>
      <c r="C60">
        <v>0</v>
      </c>
    </row>
    <row r="61" spans="1:3" x14ac:dyDescent="0.35">
      <c r="A61" t="s">
        <v>111</v>
      </c>
      <c r="B61">
        <v>0</v>
      </c>
      <c r="C61">
        <v>0</v>
      </c>
    </row>
    <row r="62" spans="1:3" x14ac:dyDescent="0.35">
      <c r="A62" t="s">
        <v>112</v>
      </c>
      <c r="B62">
        <v>0</v>
      </c>
      <c r="C62">
        <v>0</v>
      </c>
    </row>
    <row r="63" spans="1:3" x14ac:dyDescent="0.35">
      <c r="A63" t="s">
        <v>113</v>
      </c>
      <c r="B63">
        <v>0</v>
      </c>
      <c r="C63">
        <v>0</v>
      </c>
    </row>
    <row r="64" spans="1:3" x14ac:dyDescent="0.35">
      <c r="A64" t="s">
        <v>114</v>
      </c>
      <c r="B64">
        <v>0</v>
      </c>
      <c r="C64">
        <v>0</v>
      </c>
    </row>
    <row r="65" spans="1:3" x14ac:dyDescent="0.35">
      <c r="A65" t="s">
        <v>115</v>
      </c>
      <c r="B65">
        <v>0</v>
      </c>
      <c r="C65">
        <v>0</v>
      </c>
    </row>
    <row r="66" spans="1:3" x14ac:dyDescent="0.35">
      <c r="A66" t="s">
        <v>116</v>
      </c>
      <c r="B66">
        <v>0</v>
      </c>
      <c r="C66">
        <v>0</v>
      </c>
    </row>
    <row r="67" spans="1:3" x14ac:dyDescent="0.35">
      <c r="A67" t="s">
        <v>117</v>
      </c>
      <c r="B67">
        <v>0</v>
      </c>
      <c r="C67">
        <v>0</v>
      </c>
    </row>
    <row r="68" spans="1:3" x14ac:dyDescent="0.35">
      <c r="A68" t="s">
        <v>118</v>
      </c>
      <c r="B68">
        <v>0</v>
      </c>
      <c r="C68">
        <v>0</v>
      </c>
    </row>
    <row r="69" spans="1:3" x14ac:dyDescent="0.35">
      <c r="A69" t="s">
        <v>119</v>
      </c>
      <c r="B69">
        <v>0</v>
      </c>
      <c r="C69">
        <v>0</v>
      </c>
    </row>
    <row r="70" spans="1:3" x14ac:dyDescent="0.35">
      <c r="A70" t="s">
        <v>120</v>
      </c>
      <c r="B70">
        <v>0</v>
      </c>
      <c r="C70">
        <v>0</v>
      </c>
    </row>
    <row r="71" spans="1:3" x14ac:dyDescent="0.35">
      <c r="A71" t="s">
        <v>121</v>
      </c>
      <c r="B71">
        <v>0</v>
      </c>
      <c r="C71">
        <v>0</v>
      </c>
    </row>
    <row r="72" spans="1:3" x14ac:dyDescent="0.35">
      <c r="A72" t="s">
        <v>122</v>
      </c>
      <c r="B72">
        <v>0</v>
      </c>
      <c r="C72">
        <v>0</v>
      </c>
    </row>
    <row r="73" spans="1:3" x14ac:dyDescent="0.35">
      <c r="A73" t="s">
        <v>123</v>
      </c>
      <c r="B73">
        <v>0</v>
      </c>
      <c r="C73">
        <v>0</v>
      </c>
    </row>
    <row r="74" spans="1:3" x14ac:dyDescent="0.35">
      <c r="A74" t="s">
        <v>124</v>
      </c>
      <c r="B74">
        <v>0</v>
      </c>
      <c r="C74">
        <v>0</v>
      </c>
    </row>
    <row r="75" spans="1:3" x14ac:dyDescent="0.35">
      <c r="A75" t="s">
        <v>125</v>
      </c>
      <c r="B75">
        <v>0</v>
      </c>
      <c r="C75">
        <v>0</v>
      </c>
    </row>
    <row r="76" spans="1:3" x14ac:dyDescent="0.35">
      <c r="A76" t="s">
        <v>126</v>
      </c>
      <c r="B76">
        <v>0</v>
      </c>
      <c r="C76">
        <v>0</v>
      </c>
    </row>
    <row r="77" spans="1:3" x14ac:dyDescent="0.35">
      <c r="A77" t="s">
        <v>127</v>
      </c>
      <c r="B77">
        <v>0</v>
      </c>
      <c r="C77">
        <v>0</v>
      </c>
    </row>
    <row r="78" spans="1:3" x14ac:dyDescent="0.35">
      <c r="A78" t="s">
        <v>128</v>
      </c>
      <c r="B78">
        <v>0</v>
      </c>
      <c r="C78">
        <v>0</v>
      </c>
    </row>
    <row r="79" spans="1:3" x14ac:dyDescent="0.35">
      <c r="A79" t="s">
        <v>129</v>
      </c>
      <c r="B79">
        <v>0</v>
      </c>
      <c r="C79">
        <v>0</v>
      </c>
    </row>
    <row r="80" spans="1:3" x14ac:dyDescent="0.35">
      <c r="A80" t="s">
        <v>130</v>
      </c>
      <c r="B80">
        <v>0</v>
      </c>
      <c r="C80">
        <v>0</v>
      </c>
    </row>
    <row r="81" spans="1:3" x14ac:dyDescent="0.35">
      <c r="A81" t="s">
        <v>131</v>
      </c>
      <c r="B81">
        <v>0</v>
      </c>
      <c r="C81">
        <v>0</v>
      </c>
    </row>
    <row r="82" spans="1:3" x14ac:dyDescent="0.35">
      <c r="A82" t="s">
        <v>132</v>
      </c>
      <c r="B82">
        <v>0</v>
      </c>
      <c r="C82">
        <v>0</v>
      </c>
    </row>
    <row r="83" spans="1:3" x14ac:dyDescent="0.35">
      <c r="A83" t="s">
        <v>133</v>
      </c>
      <c r="B83">
        <v>0</v>
      </c>
      <c r="C83">
        <v>0</v>
      </c>
    </row>
    <row r="84" spans="1:3" x14ac:dyDescent="0.35">
      <c r="A84" t="s">
        <v>134</v>
      </c>
      <c r="B84">
        <v>0</v>
      </c>
      <c r="C84">
        <v>0</v>
      </c>
    </row>
    <row r="85" spans="1:3" x14ac:dyDescent="0.35">
      <c r="A85" t="s">
        <v>135</v>
      </c>
      <c r="B85">
        <v>0</v>
      </c>
      <c r="C85">
        <v>0</v>
      </c>
    </row>
    <row r="86" spans="1:3" x14ac:dyDescent="0.35">
      <c r="A86" t="s">
        <v>136</v>
      </c>
      <c r="B86">
        <v>0</v>
      </c>
      <c r="C86">
        <v>0</v>
      </c>
    </row>
    <row r="87" spans="1:3" x14ac:dyDescent="0.35">
      <c r="A87" t="s">
        <v>137</v>
      </c>
      <c r="B87">
        <v>0</v>
      </c>
      <c r="C87">
        <v>0</v>
      </c>
    </row>
    <row r="88" spans="1:3" x14ac:dyDescent="0.35">
      <c r="A88" t="s">
        <v>138</v>
      </c>
      <c r="B88">
        <v>0</v>
      </c>
      <c r="C88">
        <v>0</v>
      </c>
    </row>
    <row r="89" spans="1:3" x14ac:dyDescent="0.35">
      <c r="A89" t="s">
        <v>139</v>
      </c>
      <c r="B89">
        <v>0</v>
      </c>
      <c r="C89">
        <v>0</v>
      </c>
    </row>
    <row r="90" spans="1:3" x14ac:dyDescent="0.35">
      <c r="A90" t="s">
        <v>140</v>
      </c>
      <c r="B90">
        <v>0</v>
      </c>
      <c r="C90">
        <v>0</v>
      </c>
    </row>
    <row r="91" spans="1:3" x14ac:dyDescent="0.35">
      <c r="A91" t="s">
        <v>141</v>
      </c>
      <c r="B91">
        <v>0</v>
      </c>
      <c r="C91">
        <v>0</v>
      </c>
    </row>
    <row r="92" spans="1:3" x14ac:dyDescent="0.35">
      <c r="A92" t="s">
        <v>142</v>
      </c>
      <c r="B92">
        <v>0</v>
      </c>
      <c r="C92">
        <v>0</v>
      </c>
    </row>
    <row r="93" spans="1:3" x14ac:dyDescent="0.35">
      <c r="A93" t="s">
        <v>143</v>
      </c>
      <c r="B93">
        <v>0</v>
      </c>
      <c r="C93">
        <v>0</v>
      </c>
    </row>
    <row r="94" spans="1:3" x14ac:dyDescent="0.35">
      <c r="A94" t="s">
        <v>144</v>
      </c>
      <c r="B94">
        <v>0</v>
      </c>
      <c r="C94">
        <v>0</v>
      </c>
    </row>
    <row r="95" spans="1:3" x14ac:dyDescent="0.35">
      <c r="A95" t="s">
        <v>145</v>
      </c>
      <c r="B95">
        <v>0</v>
      </c>
      <c r="C95">
        <v>0</v>
      </c>
    </row>
    <row r="96" spans="1:3" x14ac:dyDescent="0.35">
      <c r="A96" t="s">
        <v>146</v>
      </c>
      <c r="B96">
        <v>0</v>
      </c>
      <c r="C96">
        <v>0</v>
      </c>
    </row>
    <row r="97" spans="1:3" x14ac:dyDescent="0.35">
      <c r="A97" t="s">
        <v>147</v>
      </c>
      <c r="B97">
        <v>0</v>
      </c>
      <c r="C97">
        <v>0</v>
      </c>
    </row>
    <row r="98" spans="1:3" x14ac:dyDescent="0.35">
      <c r="A98" t="s">
        <v>148</v>
      </c>
      <c r="B98">
        <v>0</v>
      </c>
      <c r="C98">
        <v>0</v>
      </c>
    </row>
    <row r="99" spans="1:3" x14ac:dyDescent="0.35">
      <c r="A99" t="s">
        <v>149</v>
      </c>
      <c r="B99">
        <v>0</v>
      </c>
      <c r="C99">
        <v>0</v>
      </c>
    </row>
    <row r="100" spans="1:3" x14ac:dyDescent="0.35">
      <c r="A100" t="s">
        <v>150</v>
      </c>
      <c r="B100">
        <v>0</v>
      </c>
      <c r="C100">
        <v>0</v>
      </c>
    </row>
    <row r="101" spans="1:3" x14ac:dyDescent="0.35">
      <c r="A101" t="s">
        <v>151</v>
      </c>
      <c r="B101">
        <v>0</v>
      </c>
      <c r="C101">
        <v>0</v>
      </c>
    </row>
    <row r="102" spans="1:3" x14ac:dyDescent="0.35">
      <c r="A102" t="s">
        <v>152</v>
      </c>
      <c r="B102">
        <v>0</v>
      </c>
      <c r="C102">
        <v>0</v>
      </c>
    </row>
    <row r="103" spans="1:3" x14ac:dyDescent="0.35">
      <c r="A103" t="s">
        <v>153</v>
      </c>
      <c r="B103">
        <v>0</v>
      </c>
      <c r="C103">
        <v>0</v>
      </c>
    </row>
    <row r="104" spans="1:3" x14ac:dyDescent="0.35">
      <c r="A104" t="s">
        <v>154</v>
      </c>
      <c r="B104">
        <v>0</v>
      </c>
      <c r="C104">
        <v>0</v>
      </c>
    </row>
    <row r="105" spans="1:3" x14ac:dyDescent="0.35">
      <c r="A105" t="s">
        <v>155</v>
      </c>
      <c r="B105">
        <v>0</v>
      </c>
      <c r="C105">
        <v>0</v>
      </c>
    </row>
    <row r="106" spans="1:3" x14ac:dyDescent="0.35">
      <c r="A106" t="s">
        <v>156</v>
      </c>
      <c r="B106">
        <v>0</v>
      </c>
      <c r="C106">
        <v>0</v>
      </c>
    </row>
    <row r="107" spans="1:3" x14ac:dyDescent="0.35">
      <c r="A107" t="s">
        <v>157</v>
      </c>
      <c r="B107">
        <v>0</v>
      </c>
      <c r="C107">
        <v>0</v>
      </c>
    </row>
    <row r="108" spans="1:3" x14ac:dyDescent="0.35">
      <c r="A108" t="s">
        <v>158</v>
      </c>
      <c r="B108">
        <v>0</v>
      </c>
      <c r="C108">
        <v>0</v>
      </c>
    </row>
    <row r="109" spans="1:3" x14ac:dyDescent="0.35">
      <c r="A109" t="s">
        <v>159</v>
      </c>
      <c r="B109">
        <v>0</v>
      </c>
      <c r="C109">
        <v>0</v>
      </c>
    </row>
    <row r="110" spans="1:3" x14ac:dyDescent="0.35">
      <c r="A110" t="s">
        <v>160</v>
      </c>
      <c r="B110">
        <v>0</v>
      </c>
      <c r="C110">
        <v>0</v>
      </c>
    </row>
    <row r="111" spans="1:3" x14ac:dyDescent="0.35">
      <c r="A111" t="s">
        <v>161</v>
      </c>
      <c r="B111">
        <v>0</v>
      </c>
      <c r="C111">
        <v>0</v>
      </c>
    </row>
    <row r="112" spans="1:3" x14ac:dyDescent="0.35">
      <c r="A112" t="s">
        <v>162</v>
      </c>
      <c r="B112">
        <v>0</v>
      </c>
      <c r="C112">
        <v>0</v>
      </c>
    </row>
    <row r="113" spans="1:3" x14ac:dyDescent="0.35">
      <c r="A113" t="s">
        <v>163</v>
      </c>
      <c r="B113">
        <v>0</v>
      </c>
      <c r="C113">
        <v>0</v>
      </c>
    </row>
    <row r="114" spans="1:3" x14ac:dyDescent="0.35">
      <c r="A114" t="s">
        <v>164</v>
      </c>
      <c r="B114">
        <v>0</v>
      </c>
      <c r="C114">
        <v>0</v>
      </c>
    </row>
    <row r="115" spans="1:3" x14ac:dyDescent="0.35">
      <c r="A115" t="s">
        <v>165</v>
      </c>
      <c r="B115">
        <v>0</v>
      </c>
      <c r="C115">
        <v>0</v>
      </c>
    </row>
    <row r="116" spans="1:3" x14ac:dyDescent="0.35">
      <c r="A116" t="s">
        <v>166</v>
      </c>
      <c r="B116">
        <v>0</v>
      </c>
      <c r="C116">
        <v>0</v>
      </c>
    </row>
    <row r="117" spans="1:3" x14ac:dyDescent="0.35">
      <c r="A117" t="s">
        <v>167</v>
      </c>
      <c r="B117">
        <v>0</v>
      </c>
      <c r="C117">
        <v>0</v>
      </c>
    </row>
    <row r="118" spans="1:3" x14ac:dyDescent="0.35">
      <c r="A118" t="s">
        <v>168</v>
      </c>
      <c r="B118">
        <v>0</v>
      </c>
      <c r="C118">
        <v>0</v>
      </c>
    </row>
    <row r="119" spans="1:3" x14ac:dyDescent="0.35">
      <c r="A119" t="s">
        <v>169</v>
      </c>
      <c r="B119">
        <v>0</v>
      </c>
      <c r="C119">
        <v>0</v>
      </c>
    </row>
    <row r="120" spans="1:3" x14ac:dyDescent="0.35">
      <c r="A120" t="s">
        <v>170</v>
      </c>
      <c r="B120">
        <v>0</v>
      </c>
      <c r="C120">
        <v>0</v>
      </c>
    </row>
    <row r="121" spans="1:3" x14ac:dyDescent="0.35">
      <c r="A121" t="s">
        <v>171</v>
      </c>
      <c r="B121">
        <v>0</v>
      </c>
      <c r="C121">
        <v>0</v>
      </c>
    </row>
    <row r="122" spans="1:3" x14ac:dyDescent="0.35">
      <c r="A122" t="s">
        <v>172</v>
      </c>
      <c r="B122">
        <v>0</v>
      </c>
      <c r="C122">
        <v>0</v>
      </c>
    </row>
    <row r="123" spans="1:3" x14ac:dyDescent="0.35">
      <c r="A123" t="s">
        <v>173</v>
      </c>
      <c r="B123">
        <v>0</v>
      </c>
      <c r="C123">
        <v>0</v>
      </c>
    </row>
    <row r="124" spans="1:3" x14ac:dyDescent="0.35">
      <c r="A124" t="s">
        <v>174</v>
      </c>
      <c r="B124">
        <v>0</v>
      </c>
      <c r="C124">
        <v>0</v>
      </c>
    </row>
    <row r="125" spans="1:3" x14ac:dyDescent="0.35">
      <c r="A125" t="s">
        <v>175</v>
      </c>
      <c r="B125">
        <v>0</v>
      </c>
      <c r="C125">
        <v>0</v>
      </c>
    </row>
    <row r="126" spans="1:3" x14ac:dyDescent="0.35">
      <c r="A126" t="s">
        <v>176</v>
      </c>
      <c r="B126">
        <v>0</v>
      </c>
      <c r="C126">
        <v>0</v>
      </c>
    </row>
    <row r="127" spans="1:3" x14ac:dyDescent="0.35">
      <c r="A127" t="s">
        <v>177</v>
      </c>
      <c r="B127">
        <v>0</v>
      </c>
      <c r="C127">
        <v>0</v>
      </c>
    </row>
    <row r="128" spans="1:3" x14ac:dyDescent="0.35">
      <c r="A128" t="s">
        <v>178</v>
      </c>
      <c r="B128">
        <v>0</v>
      </c>
      <c r="C128">
        <v>0</v>
      </c>
    </row>
    <row r="129" spans="1:3" x14ac:dyDescent="0.35">
      <c r="A129" t="s">
        <v>179</v>
      </c>
      <c r="B129">
        <v>0</v>
      </c>
      <c r="C129">
        <v>0</v>
      </c>
    </row>
    <row r="130" spans="1:3" x14ac:dyDescent="0.35">
      <c r="A130" t="s">
        <v>180</v>
      </c>
      <c r="B130">
        <v>0</v>
      </c>
      <c r="C130">
        <v>0</v>
      </c>
    </row>
    <row r="131" spans="1:3" x14ac:dyDescent="0.35">
      <c r="A131" t="s">
        <v>181</v>
      </c>
      <c r="B131">
        <v>0</v>
      </c>
      <c r="C131">
        <v>0</v>
      </c>
    </row>
    <row r="132" spans="1:3" x14ac:dyDescent="0.35">
      <c r="A132" t="s">
        <v>182</v>
      </c>
      <c r="B132">
        <v>0</v>
      </c>
      <c r="C132">
        <v>0</v>
      </c>
    </row>
    <row r="133" spans="1:3" x14ac:dyDescent="0.35">
      <c r="A133" t="s">
        <v>183</v>
      </c>
      <c r="B133">
        <v>0</v>
      </c>
      <c r="C133">
        <v>0</v>
      </c>
    </row>
    <row r="134" spans="1:3" x14ac:dyDescent="0.35">
      <c r="A134" t="s">
        <v>184</v>
      </c>
      <c r="B134">
        <v>0</v>
      </c>
      <c r="C134">
        <v>0</v>
      </c>
    </row>
    <row r="135" spans="1:3" x14ac:dyDescent="0.35">
      <c r="A135" t="s">
        <v>185</v>
      </c>
      <c r="B135">
        <v>0</v>
      </c>
      <c r="C135">
        <v>0</v>
      </c>
    </row>
    <row r="136" spans="1:3" x14ac:dyDescent="0.35">
      <c r="A136" t="s">
        <v>186</v>
      </c>
      <c r="B136">
        <v>0</v>
      </c>
      <c r="C136">
        <v>0</v>
      </c>
    </row>
    <row r="137" spans="1:3" x14ac:dyDescent="0.35">
      <c r="A137" t="s">
        <v>187</v>
      </c>
      <c r="B137">
        <v>0</v>
      </c>
      <c r="C137">
        <v>0</v>
      </c>
    </row>
    <row r="138" spans="1:3" x14ac:dyDescent="0.35">
      <c r="A138" t="s">
        <v>188</v>
      </c>
      <c r="B138">
        <v>0</v>
      </c>
      <c r="C138">
        <v>0</v>
      </c>
    </row>
    <row r="139" spans="1:3" x14ac:dyDescent="0.35">
      <c r="A139" t="s">
        <v>189</v>
      </c>
      <c r="B139">
        <v>0</v>
      </c>
      <c r="C139">
        <v>0</v>
      </c>
    </row>
  </sheetData>
  <mergeCells count="2">
    <mergeCell ref="F1:L18"/>
    <mergeCell ref="F23:L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54DE-CF8E-4CE1-A46F-7D763C73C01F}">
  <dimension ref="A1:AD32"/>
  <sheetViews>
    <sheetView topLeftCell="A32" workbookViewId="0">
      <selection activeCell="A8" sqref="A8:AD32"/>
    </sheetView>
  </sheetViews>
  <sheetFormatPr defaultRowHeight="14.5" x14ac:dyDescent="0.35"/>
  <cols>
    <col min="1" max="1" width="26.1796875" bestFit="1" customWidth="1"/>
    <col min="2" max="2" width="17.1796875" bestFit="1" customWidth="1"/>
    <col min="3" max="3" width="24.08984375" bestFit="1" customWidth="1"/>
    <col min="4" max="4" width="31.1796875" bestFit="1" customWidth="1"/>
    <col min="5" max="6" width="26.54296875" customWidth="1"/>
  </cols>
  <sheetData>
    <row r="1" spans="1:30" x14ac:dyDescent="0.35">
      <c r="A1" s="19" t="s">
        <v>0</v>
      </c>
      <c r="B1" s="19" t="s">
        <v>1</v>
      </c>
      <c r="C1" s="19" t="s">
        <v>2</v>
      </c>
      <c r="D1" s="19" t="s">
        <v>3</v>
      </c>
    </row>
    <row r="2" spans="1:30" x14ac:dyDescent="0.35">
      <c r="A2" s="19" t="s">
        <v>4</v>
      </c>
      <c r="B2" s="19" t="s">
        <v>5</v>
      </c>
      <c r="C2" s="19" t="s">
        <v>6</v>
      </c>
      <c r="D2" s="19" t="s">
        <v>7</v>
      </c>
    </row>
    <row r="3" spans="1:30" x14ac:dyDescent="0.35">
      <c r="A3" s="49">
        <f>A2/1000000</f>
        <v>41.512698999999998</v>
      </c>
      <c r="B3" s="49">
        <f t="shared" ref="B3:D3" si="0">B2/1000000</f>
        <v>35.301752999999998</v>
      </c>
      <c r="C3" s="49">
        <f t="shared" si="0"/>
        <v>33.270868</v>
      </c>
      <c r="D3" s="49">
        <f t="shared" si="0"/>
        <v>24.998823000000002</v>
      </c>
    </row>
    <row r="4" spans="1:30" x14ac:dyDescent="0.35">
      <c r="A4" s="19" t="s">
        <v>2427</v>
      </c>
      <c r="B4" s="19" t="s">
        <v>2428</v>
      </c>
      <c r="C4" s="19" t="s">
        <v>2429</v>
      </c>
      <c r="D4" s="19"/>
    </row>
    <row r="5" spans="1:30" s="6" customFormat="1" x14ac:dyDescent="0.35">
      <c r="A5" s="50"/>
      <c r="B5" s="50"/>
      <c r="C5" s="50"/>
      <c r="D5" s="50"/>
    </row>
    <row r="6" spans="1:30" s="6" customFormat="1" x14ac:dyDescent="0.35">
      <c r="A6" s="50"/>
      <c r="B6" s="50"/>
      <c r="C6" s="50"/>
      <c r="D6" s="50"/>
    </row>
    <row r="7" spans="1:30" s="6" customFormat="1" x14ac:dyDescent="0.35">
      <c r="A7" s="50"/>
      <c r="B7" s="50"/>
      <c r="C7" s="50"/>
      <c r="D7" s="50"/>
    </row>
    <row r="8" spans="1:30" x14ac:dyDescent="0.35">
      <c r="A8" s="89" t="s">
        <v>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</row>
    <row r="9" spans="1:30" x14ac:dyDescent="0.35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</row>
    <row r="10" spans="1:30" x14ac:dyDescent="0.35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</row>
    <row r="11" spans="1:30" x14ac:dyDescent="0.35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</row>
    <row r="12" spans="1:30" x14ac:dyDescent="0.35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</row>
    <row r="13" spans="1:30" x14ac:dyDescent="0.35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</row>
    <row r="14" spans="1:30" x14ac:dyDescent="0.3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</row>
    <row r="15" spans="1:30" x14ac:dyDescent="0.3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</row>
    <row r="16" spans="1:30" x14ac:dyDescent="0.35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</row>
    <row r="17" spans="1:30" x14ac:dyDescent="0.35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</row>
    <row r="18" spans="1:30" x14ac:dyDescent="0.35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</row>
    <row r="19" spans="1:30" x14ac:dyDescent="0.35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</row>
    <row r="20" spans="1:30" x14ac:dyDescent="0.35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</row>
    <row r="21" spans="1:30" x14ac:dyDescent="0.35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</row>
    <row r="22" spans="1:30" x14ac:dyDescent="0.35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</row>
    <row r="23" spans="1:30" x14ac:dyDescent="0.35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</row>
    <row r="24" spans="1:30" x14ac:dyDescent="0.3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</row>
    <row r="25" spans="1:30" x14ac:dyDescent="0.3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</row>
    <row r="26" spans="1:30" x14ac:dyDescent="0.35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</row>
    <row r="27" spans="1:30" x14ac:dyDescent="0.35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</row>
    <row r="28" spans="1:30" x14ac:dyDescent="0.35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</row>
    <row r="29" spans="1:30" x14ac:dyDescent="0.35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</row>
    <row r="30" spans="1:30" x14ac:dyDescent="0.35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1" spans="1:30" x14ac:dyDescent="0.35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</row>
    <row r="32" spans="1:30" ht="348.65" customHeight="1" x14ac:dyDescent="0.35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</sheetData>
  <mergeCells count="1">
    <mergeCell ref="A8:AD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7907-BE23-4202-8F59-CA1464B60BC5}">
  <dimension ref="A1:X52"/>
  <sheetViews>
    <sheetView zoomScale="80" zoomScaleNormal="80" workbookViewId="0">
      <selection activeCell="H17" sqref="H17"/>
    </sheetView>
  </sheetViews>
  <sheetFormatPr defaultRowHeight="14.5" x14ac:dyDescent="0.35"/>
  <cols>
    <col min="1" max="1" width="8.453125" bestFit="1" customWidth="1"/>
    <col min="2" max="2" width="9.36328125" bestFit="1" customWidth="1"/>
    <col min="3" max="3" width="8.36328125" bestFit="1" customWidth="1"/>
    <col min="4" max="4" width="13.26953125" bestFit="1" customWidth="1"/>
    <col min="5" max="5" width="18.453125" bestFit="1" customWidth="1"/>
    <col min="6" max="6" width="11.08984375" style="119" bestFit="1" customWidth="1"/>
    <col min="7" max="7" width="8.54296875" style="119" bestFit="1" customWidth="1"/>
    <col min="8" max="10" width="19.1796875" bestFit="1" customWidth="1"/>
    <col min="11" max="11" width="18.54296875" bestFit="1" customWidth="1"/>
    <col min="12" max="14" width="19.1796875" bestFit="1" customWidth="1"/>
    <col min="15" max="16" width="18.54296875" bestFit="1" customWidth="1"/>
    <col min="17" max="18" width="8.81640625" bestFit="1" customWidth="1"/>
    <col min="19" max="19" width="22.54296875" bestFit="1" customWidth="1"/>
    <col min="20" max="20" width="14.81640625" bestFit="1" customWidth="1"/>
    <col min="21" max="24" width="15.81640625" bestFit="1" customWidth="1"/>
  </cols>
  <sheetData>
    <row r="1" spans="1:24" x14ac:dyDescent="0.35">
      <c r="A1" s="67" t="s">
        <v>9</v>
      </c>
      <c r="B1" s="67" t="s">
        <v>10</v>
      </c>
      <c r="C1" s="67" t="s">
        <v>11</v>
      </c>
      <c r="D1" s="67" t="s">
        <v>12</v>
      </c>
      <c r="E1" s="67" t="s">
        <v>13</v>
      </c>
      <c r="F1" s="119" t="s">
        <v>2448</v>
      </c>
      <c r="G1" s="119" t="s">
        <v>2449</v>
      </c>
      <c r="H1" s="67" t="s">
        <v>14</v>
      </c>
      <c r="I1" s="67" t="s">
        <v>15</v>
      </c>
      <c r="J1" s="67" t="s">
        <v>16</v>
      </c>
      <c r="K1" s="67" t="s">
        <v>17</v>
      </c>
      <c r="L1" s="67" t="s">
        <v>18</v>
      </c>
      <c r="M1" s="67" t="s">
        <v>19</v>
      </c>
      <c r="N1" s="67" t="s">
        <v>20</v>
      </c>
      <c r="O1" s="67" t="s">
        <v>21</v>
      </c>
      <c r="P1" s="67" t="s">
        <v>22</v>
      </c>
      <c r="Q1" s="67" t="s">
        <v>23</v>
      </c>
      <c r="R1" s="67" t="s">
        <v>24</v>
      </c>
      <c r="S1" s="67" t="s">
        <v>25</v>
      </c>
      <c r="T1" s="67" t="s">
        <v>26</v>
      </c>
      <c r="U1" s="67" t="s">
        <v>27</v>
      </c>
      <c r="V1" s="67" t="s">
        <v>28</v>
      </c>
      <c r="W1" s="67" t="s">
        <v>29</v>
      </c>
      <c r="X1" s="67" t="s">
        <v>30</v>
      </c>
    </row>
    <row r="2" spans="1:24" x14ac:dyDescent="0.35">
      <c r="A2" s="1">
        <v>44228</v>
      </c>
      <c r="B2" s="67">
        <v>24998823</v>
      </c>
      <c r="C2" s="67"/>
      <c r="D2" s="67" t="s">
        <v>31</v>
      </c>
      <c r="E2" s="67" t="s">
        <v>32</v>
      </c>
      <c r="F2" s="119">
        <v>0</v>
      </c>
      <c r="G2" s="119">
        <v>0</v>
      </c>
      <c r="H2" s="67" t="s">
        <v>192</v>
      </c>
      <c r="I2" s="67" t="s">
        <v>193</v>
      </c>
      <c r="J2" s="67" t="s">
        <v>194</v>
      </c>
      <c r="K2" s="67" t="s">
        <v>195</v>
      </c>
      <c r="L2" s="67" t="s">
        <v>196</v>
      </c>
      <c r="M2" s="67" t="s">
        <v>197</v>
      </c>
      <c r="N2" s="67" t="s">
        <v>198</v>
      </c>
      <c r="O2" s="67" t="s">
        <v>199</v>
      </c>
      <c r="P2" s="67" t="s">
        <v>200</v>
      </c>
      <c r="Q2" s="67">
        <v>8381050</v>
      </c>
      <c r="R2" s="67">
        <v>16598795</v>
      </c>
      <c r="S2" s="67" t="s">
        <v>201</v>
      </c>
      <c r="T2" s="67">
        <v>2374613</v>
      </c>
      <c r="U2" s="67">
        <v>2164288</v>
      </c>
      <c r="V2" s="67">
        <v>2003728</v>
      </c>
      <c r="W2" s="67">
        <v>1419706</v>
      </c>
      <c r="X2" s="67">
        <v>770951</v>
      </c>
    </row>
    <row r="3" spans="1:24" x14ac:dyDescent="0.35">
      <c r="A3" s="1">
        <v>44228</v>
      </c>
      <c r="B3" s="67">
        <v>24998823</v>
      </c>
      <c r="C3" s="67"/>
      <c r="D3" s="67" t="s">
        <v>31</v>
      </c>
      <c r="E3" s="67" t="s">
        <v>33</v>
      </c>
      <c r="F3" s="119">
        <v>0</v>
      </c>
      <c r="G3" s="119">
        <v>0</v>
      </c>
      <c r="H3" s="67" t="s">
        <v>202</v>
      </c>
      <c r="I3" s="67" t="s">
        <v>203</v>
      </c>
      <c r="J3" s="67" t="s">
        <v>204</v>
      </c>
      <c r="K3" s="67" t="s">
        <v>205</v>
      </c>
      <c r="L3" s="67" t="s">
        <v>206</v>
      </c>
      <c r="M3" s="67" t="s">
        <v>207</v>
      </c>
      <c r="N3" s="67" t="s">
        <v>208</v>
      </c>
      <c r="O3" s="67" t="s">
        <v>209</v>
      </c>
      <c r="P3" s="67" t="s">
        <v>210</v>
      </c>
      <c r="Q3" s="67">
        <v>16673168</v>
      </c>
      <c r="R3" s="67">
        <v>20410798</v>
      </c>
      <c r="S3" s="67" t="s">
        <v>211</v>
      </c>
      <c r="T3" s="67">
        <v>640519</v>
      </c>
      <c r="U3" s="67">
        <v>584395</v>
      </c>
      <c r="V3" s="67">
        <v>549121</v>
      </c>
      <c r="W3" s="67">
        <v>404751</v>
      </c>
      <c r="X3" s="67">
        <v>223102</v>
      </c>
    </row>
    <row r="4" spans="1:24" x14ac:dyDescent="0.35">
      <c r="A4" s="1">
        <v>44228</v>
      </c>
      <c r="B4" s="67">
        <v>24998823</v>
      </c>
      <c r="C4" s="67"/>
      <c r="D4" s="67" t="s">
        <v>31</v>
      </c>
      <c r="E4" s="67" t="s">
        <v>34</v>
      </c>
      <c r="F4" s="119">
        <v>0</v>
      </c>
      <c r="G4" s="119">
        <v>0</v>
      </c>
      <c r="H4" s="67" t="s">
        <v>212</v>
      </c>
      <c r="I4" s="67" t="s">
        <v>213</v>
      </c>
      <c r="J4" s="67" t="s">
        <v>214</v>
      </c>
      <c r="K4" s="67" t="s">
        <v>215</v>
      </c>
      <c r="L4" s="67" t="s">
        <v>216</v>
      </c>
      <c r="M4" s="67" t="s">
        <v>217</v>
      </c>
      <c r="N4" s="67" t="s">
        <v>218</v>
      </c>
      <c r="O4" s="67" t="s">
        <v>219</v>
      </c>
      <c r="P4" s="67" t="s">
        <v>220</v>
      </c>
      <c r="Q4" s="67">
        <v>7071441</v>
      </c>
      <c r="R4" s="67">
        <v>6097574</v>
      </c>
      <c r="S4" s="67" t="s">
        <v>221</v>
      </c>
      <c r="T4" s="67">
        <v>10753</v>
      </c>
      <c r="U4" s="67">
        <v>9404</v>
      </c>
      <c r="V4" s="67">
        <v>8563</v>
      </c>
      <c r="W4" s="67">
        <v>7329</v>
      </c>
      <c r="X4" s="67">
        <v>4424</v>
      </c>
    </row>
    <row r="5" spans="1:24" x14ac:dyDescent="0.35">
      <c r="A5" s="1">
        <v>44228</v>
      </c>
      <c r="B5" s="67">
        <v>24998823</v>
      </c>
      <c r="C5" s="67"/>
      <c r="D5" s="67" t="s">
        <v>31</v>
      </c>
      <c r="E5" s="67" t="s">
        <v>35</v>
      </c>
      <c r="F5" s="119">
        <v>0</v>
      </c>
      <c r="G5" s="119">
        <v>0</v>
      </c>
      <c r="H5" s="67" t="s">
        <v>222</v>
      </c>
      <c r="I5" s="67" t="s">
        <v>223</v>
      </c>
      <c r="J5" s="67" t="s">
        <v>224</v>
      </c>
      <c r="K5" s="67" t="s">
        <v>225</v>
      </c>
      <c r="L5" s="67" t="s">
        <v>226</v>
      </c>
      <c r="M5" s="67" t="s">
        <v>227</v>
      </c>
      <c r="N5" s="67" t="s">
        <v>228</v>
      </c>
      <c r="O5" s="67" t="s">
        <v>229</v>
      </c>
      <c r="P5" s="67" t="s">
        <v>230</v>
      </c>
      <c r="Q5" s="67">
        <v>5254319</v>
      </c>
      <c r="R5" s="67">
        <v>4330380</v>
      </c>
      <c r="S5" s="67" t="s">
        <v>231</v>
      </c>
      <c r="T5" s="67">
        <v>6313</v>
      </c>
      <c r="U5" s="67">
        <v>5561</v>
      </c>
      <c r="V5" s="67">
        <v>5070</v>
      </c>
      <c r="W5" s="67">
        <v>4328</v>
      </c>
      <c r="X5" s="67">
        <v>2598</v>
      </c>
    </row>
    <row r="6" spans="1:24" x14ac:dyDescent="0.35">
      <c r="A6" s="1">
        <v>44228</v>
      </c>
      <c r="B6" s="67">
        <v>24998823</v>
      </c>
      <c r="C6" s="67"/>
      <c r="D6" s="67" t="s">
        <v>31</v>
      </c>
      <c r="E6" s="67" t="s">
        <v>36</v>
      </c>
      <c r="F6" s="119">
        <v>0</v>
      </c>
      <c r="G6" s="119">
        <v>0</v>
      </c>
      <c r="H6" s="67" t="s">
        <v>232</v>
      </c>
      <c r="I6" s="67" t="s">
        <v>233</v>
      </c>
      <c r="J6" s="67" t="s">
        <v>234</v>
      </c>
      <c r="K6" s="67" t="s">
        <v>235</v>
      </c>
      <c r="L6" s="67" t="s">
        <v>236</v>
      </c>
      <c r="M6" s="67" t="s">
        <v>237</v>
      </c>
      <c r="N6" s="67" t="s">
        <v>238</v>
      </c>
      <c r="O6" s="67" t="s">
        <v>239</v>
      </c>
      <c r="P6" s="67" t="s">
        <v>240</v>
      </c>
      <c r="Q6" s="67">
        <v>6849945</v>
      </c>
      <c r="R6" s="67">
        <v>5403248</v>
      </c>
      <c r="S6" s="67" t="s">
        <v>241</v>
      </c>
      <c r="T6" s="67">
        <v>6282</v>
      </c>
      <c r="U6" s="67">
        <v>5566</v>
      </c>
      <c r="V6" s="67">
        <v>5046</v>
      </c>
      <c r="W6" s="67">
        <v>4331</v>
      </c>
      <c r="X6" s="67">
        <v>2619</v>
      </c>
    </row>
    <row r="7" spans="1:24" x14ac:dyDescent="0.35">
      <c r="A7" s="1">
        <v>44228</v>
      </c>
      <c r="B7" s="67">
        <v>24998823</v>
      </c>
      <c r="C7" s="67"/>
      <c r="D7" s="67" t="s">
        <v>31</v>
      </c>
      <c r="E7" s="67" t="s">
        <v>37</v>
      </c>
      <c r="F7" s="119">
        <v>0</v>
      </c>
      <c r="G7" s="119">
        <v>0</v>
      </c>
      <c r="H7" s="67" t="s">
        <v>242</v>
      </c>
      <c r="I7" s="67" t="s">
        <v>243</v>
      </c>
      <c r="J7" s="67" t="s">
        <v>244</v>
      </c>
      <c r="K7" s="67" t="s">
        <v>245</v>
      </c>
      <c r="L7" s="67" t="s">
        <v>246</v>
      </c>
      <c r="M7" s="67" t="s">
        <v>247</v>
      </c>
      <c r="N7" s="67" t="s">
        <v>248</v>
      </c>
      <c r="O7" s="67" t="s">
        <v>249</v>
      </c>
      <c r="P7" s="67" t="s">
        <v>250</v>
      </c>
      <c r="Q7" s="67">
        <v>6884552</v>
      </c>
      <c r="R7" s="67">
        <v>5222454</v>
      </c>
      <c r="S7" s="67" t="s">
        <v>251</v>
      </c>
      <c r="T7" s="67">
        <v>4227</v>
      </c>
      <c r="U7" s="67">
        <v>3797</v>
      </c>
      <c r="V7" s="67">
        <v>3448</v>
      </c>
      <c r="W7" s="67">
        <v>3029</v>
      </c>
      <c r="X7" s="67">
        <v>1809</v>
      </c>
    </row>
    <row r="8" spans="1:24" x14ac:dyDescent="0.35">
      <c r="A8" s="1">
        <v>44228</v>
      </c>
      <c r="B8" s="67">
        <v>24998823</v>
      </c>
      <c r="C8" s="67"/>
      <c r="D8" s="67" t="s">
        <v>31</v>
      </c>
      <c r="E8" s="67" t="s">
        <v>38</v>
      </c>
      <c r="F8" s="119">
        <v>0</v>
      </c>
      <c r="G8" s="119">
        <v>0</v>
      </c>
      <c r="H8" s="67" t="s">
        <v>252</v>
      </c>
      <c r="I8" s="67" t="s">
        <v>253</v>
      </c>
      <c r="J8" s="67" t="s">
        <v>254</v>
      </c>
      <c r="K8" s="67" t="s">
        <v>255</v>
      </c>
      <c r="L8" s="67" t="s">
        <v>256</v>
      </c>
      <c r="M8" s="67" t="s">
        <v>257</v>
      </c>
      <c r="N8" s="67" t="s">
        <v>258</v>
      </c>
      <c r="O8" s="67" t="s">
        <v>259</v>
      </c>
      <c r="P8" s="67" t="s">
        <v>260</v>
      </c>
      <c r="Q8" s="67">
        <v>20683127</v>
      </c>
      <c r="R8" s="67">
        <v>23311441</v>
      </c>
      <c r="S8" s="67" t="s">
        <v>261</v>
      </c>
      <c r="T8" s="67">
        <v>156754</v>
      </c>
      <c r="U8" s="67">
        <v>132691</v>
      </c>
      <c r="V8" s="67">
        <v>118857</v>
      </c>
      <c r="W8" s="67">
        <v>96080</v>
      </c>
      <c r="X8" s="67">
        <v>55805</v>
      </c>
    </row>
    <row r="9" spans="1:24" x14ac:dyDescent="0.35">
      <c r="A9" s="1">
        <v>44228</v>
      </c>
      <c r="B9" s="67">
        <v>24998823</v>
      </c>
      <c r="C9" s="67"/>
      <c r="D9" s="67" t="s">
        <v>31</v>
      </c>
      <c r="E9" s="67" t="s">
        <v>39</v>
      </c>
      <c r="F9" s="119">
        <v>0</v>
      </c>
      <c r="G9" s="119">
        <v>0</v>
      </c>
      <c r="H9" s="67" t="s">
        <v>262</v>
      </c>
      <c r="I9" s="67" t="s">
        <v>263</v>
      </c>
      <c r="J9" s="67" t="s">
        <v>264</v>
      </c>
      <c r="K9" s="67" t="s">
        <v>265</v>
      </c>
      <c r="L9" s="67" t="s">
        <v>266</v>
      </c>
      <c r="M9" s="67" t="s">
        <v>267</v>
      </c>
      <c r="N9" s="67" t="s">
        <v>268</v>
      </c>
      <c r="O9" s="67" t="s">
        <v>269</v>
      </c>
      <c r="P9" s="67" t="s">
        <v>270</v>
      </c>
      <c r="Q9" s="67">
        <v>4939253</v>
      </c>
      <c r="R9" s="67">
        <v>3814994</v>
      </c>
      <c r="S9" s="67" t="s">
        <v>271</v>
      </c>
      <c r="T9" s="67">
        <v>1794</v>
      </c>
      <c r="U9" s="67">
        <v>1632</v>
      </c>
      <c r="V9" s="67">
        <v>1500</v>
      </c>
      <c r="W9" s="67">
        <v>1322</v>
      </c>
      <c r="X9" s="67">
        <v>852</v>
      </c>
    </row>
    <row r="10" spans="1:24" x14ac:dyDescent="0.35">
      <c r="A10" s="1">
        <v>44228</v>
      </c>
      <c r="B10" s="67">
        <v>24998823</v>
      </c>
      <c r="C10" s="67"/>
      <c r="D10" s="67" t="s">
        <v>31</v>
      </c>
      <c r="E10" s="67" t="s">
        <v>40</v>
      </c>
      <c r="F10" s="119">
        <v>0</v>
      </c>
      <c r="G10" s="119">
        <v>0</v>
      </c>
      <c r="H10" s="67" t="s">
        <v>272</v>
      </c>
      <c r="I10" s="67" t="s">
        <v>273</v>
      </c>
      <c r="J10" s="67" t="s">
        <v>274</v>
      </c>
      <c r="K10" s="67" t="s">
        <v>275</v>
      </c>
      <c r="L10" s="67" t="s">
        <v>276</v>
      </c>
      <c r="M10" s="67" t="s">
        <v>277</v>
      </c>
      <c r="N10" s="67" t="s">
        <v>278</v>
      </c>
      <c r="O10" s="67" t="s">
        <v>279</v>
      </c>
      <c r="P10" s="67" t="s">
        <v>280</v>
      </c>
      <c r="Q10" s="67">
        <v>14357180</v>
      </c>
      <c r="R10" s="67">
        <v>14373727</v>
      </c>
      <c r="S10" s="67" t="s">
        <v>281</v>
      </c>
      <c r="T10" s="67">
        <v>50487</v>
      </c>
      <c r="U10" s="67">
        <v>43431</v>
      </c>
      <c r="V10" s="67">
        <v>39153</v>
      </c>
      <c r="W10" s="67">
        <v>32589</v>
      </c>
      <c r="X10" s="67">
        <v>19232</v>
      </c>
    </row>
    <row r="11" spans="1:24" x14ac:dyDescent="0.35">
      <c r="A11" s="1">
        <v>44228</v>
      </c>
      <c r="B11" s="67">
        <v>24998823</v>
      </c>
      <c r="C11" s="67"/>
      <c r="D11" s="67" t="s">
        <v>31</v>
      </c>
      <c r="E11" s="67" t="s">
        <v>41</v>
      </c>
      <c r="F11" s="119">
        <v>0</v>
      </c>
      <c r="G11" s="119">
        <v>0</v>
      </c>
      <c r="H11" s="67" t="s">
        <v>282</v>
      </c>
      <c r="I11" s="67" t="s">
        <v>283</v>
      </c>
      <c r="J11" s="67" t="s">
        <v>284</v>
      </c>
      <c r="K11" s="67" t="s">
        <v>285</v>
      </c>
      <c r="L11" s="67" t="s">
        <v>286</v>
      </c>
      <c r="M11" s="67" t="s">
        <v>287</v>
      </c>
      <c r="N11" s="67" t="s">
        <v>288</v>
      </c>
      <c r="O11" s="67" t="s">
        <v>289</v>
      </c>
      <c r="P11" s="67" t="s">
        <v>290</v>
      </c>
      <c r="Q11" s="67">
        <v>9879655</v>
      </c>
      <c r="R11" s="67">
        <v>9017273</v>
      </c>
      <c r="S11" s="67" t="s">
        <v>291</v>
      </c>
      <c r="T11" s="67">
        <v>21683</v>
      </c>
      <c r="U11" s="67">
        <v>18773</v>
      </c>
      <c r="V11" s="67">
        <v>16936</v>
      </c>
      <c r="W11" s="67">
        <v>14160</v>
      </c>
      <c r="X11" s="67">
        <v>8462</v>
      </c>
    </row>
    <row r="12" spans="1:24" x14ac:dyDescent="0.35">
      <c r="A12" s="1">
        <v>44228</v>
      </c>
      <c r="B12" s="67">
        <v>24998823</v>
      </c>
      <c r="C12" s="67"/>
      <c r="D12" s="67" t="s">
        <v>31</v>
      </c>
      <c r="E12" s="67" t="s">
        <v>42</v>
      </c>
      <c r="F12" s="119">
        <v>0</v>
      </c>
      <c r="G12" s="119">
        <v>0</v>
      </c>
      <c r="H12" s="67" t="s">
        <v>292</v>
      </c>
      <c r="I12" s="67" t="s">
        <v>293</v>
      </c>
      <c r="J12" s="67" t="s">
        <v>294</v>
      </c>
      <c r="K12" s="67" t="s">
        <v>295</v>
      </c>
      <c r="L12" s="67" t="s">
        <v>296</v>
      </c>
      <c r="M12" s="67" t="s">
        <v>297</v>
      </c>
      <c r="N12" s="67" t="s">
        <v>298</v>
      </c>
      <c r="O12" s="67" t="s">
        <v>299</v>
      </c>
      <c r="P12" s="67" t="s">
        <v>300</v>
      </c>
      <c r="Q12" s="67">
        <v>3099015</v>
      </c>
      <c r="R12" s="67">
        <v>2351614</v>
      </c>
      <c r="S12" s="67" t="s">
        <v>301</v>
      </c>
      <c r="T12" s="67">
        <v>669</v>
      </c>
      <c r="U12" s="67">
        <v>609</v>
      </c>
      <c r="V12" s="67">
        <v>539</v>
      </c>
      <c r="W12" s="67">
        <v>451</v>
      </c>
      <c r="X12" s="67">
        <v>274</v>
      </c>
    </row>
    <row r="13" spans="1:24" x14ac:dyDescent="0.35">
      <c r="A13" s="1">
        <v>44228</v>
      </c>
      <c r="B13" s="67">
        <v>24998823</v>
      </c>
      <c r="C13" s="67"/>
      <c r="D13" s="67" t="s">
        <v>31</v>
      </c>
      <c r="E13" s="67" t="s">
        <v>43</v>
      </c>
      <c r="F13" s="119">
        <v>0</v>
      </c>
      <c r="G13" s="119">
        <v>0</v>
      </c>
      <c r="H13" s="67" t="s">
        <v>302</v>
      </c>
      <c r="I13" s="67" t="s">
        <v>303</v>
      </c>
      <c r="J13" s="67" t="s">
        <v>304</v>
      </c>
      <c r="K13" s="67" t="s">
        <v>305</v>
      </c>
      <c r="L13" s="67" t="s">
        <v>306</v>
      </c>
      <c r="M13" s="67" t="s">
        <v>307</v>
      </c>
      <c r="N13" s="67" t="s">
        <v>308</v>
      </c>
      <c r="O13" s="67" t="s">
        <v>309</v>
      </c>
      <c r="P13" s="67" t="s">
        <v>310</v>
      </c>
      <c r="Q13" s="67">
        <v>215141</v>
      </c>
      <c r="R13" s="67">
        <v>149968</v>
      </c>
      <c r="S13" s="67" t="s">
        <v>311</v>
      </c>
      <c r="T13" s="67">
        <v>43905</v>
      </c>
      <c r="U13" s="67">
        <v>40752</v>
      </c>
      <c r="V13" s="67">
        <v>38103</v>
      </c>
      <c r="W13" s="67">
        <v>28696</v>
      </c>
      <c r="X13" s="67">
        <v>19674</v>
      </c>
    </row>
    <row r="14" spans="1:24" x14ac:dyDescent="0.35">
      <c r="A14" s="1"/>
      <c r="B14" s="67"/>
      <c r="C14" s="67"/>
      <c r="D14" s="67"/>
      <c r="E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</row>
    <row r="15" spans="1:24" x14ac:dyDescent="0.35">
      <c r="A15" s="1">
        <v>44228</v>
      </c>
      <c r="B15" s="67">
        <v>24998823</v>
      </c>
      <c r="C15" s="67"/>
      <c r="D15" s="67" t="s">
        <v>31</v>
      </c>
      <c r="E15" s="67" t="s">
        <v>32</v>
      </c>
      <c r="F15" s="119">
        <v>1</v>
      </c>
      <c r="G15" s="119">
        <v>0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</row>
    <row r="16" spans="1:24" x14ac:dyDescent="0.35">
      <c r="A16" s="1">
        <v>44228</v>
      </c>
      <c r="B16" s="67">
        <v>24998823</v>
      </c>
      <c r="C16" s="67"/>
      <c r="D16" s="67" t="s">
        <v>31</v>
      </c>
      <c r="E16" s="67" t="s">
        <v>33</v>
      </c>
      <c r="F16" s="119">
        <v>1</v>
      </c>
      <c r="G16" s="119">
        <v>0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</row>
    <row r="17" spans="1:24" x14ac:dyDescent="0.35">
      <c r="A17" s="1">
        <v>44228</v>
      </c>
      <c r="B17" s="67">
        <v>24998823</v>
      </c>
      <c r="C17" s="67"/>
      <c r="D17" s="67" t="s">
        <v>31</v>
      </c>
      <c r="E17" s="67" t="s">
        <v>34</v>
      </c>
      <c r="F17" s="119">
        <v>1</v>
      </c>
      <c r="G17" s="119">
        <v>0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</row>
    <row r="18" spans="1:24" x14ac:dyDescent="0.35">
      <c r="A18" s="1">
        <v>44228</v>
      </c>
      <c r="B18" s="67">
        <v>24998823</v>
      </c>
      <c r="C18" s="67"/>
      <c r="D18" s="67" t="s">
        <v>31</v>
      </c>
      <c r="E18" s="67" t="s">
        <v>35</v>
      </c>
      <c r="F18" s="119">
        <v>1</v>
      </c>
      <c r="G18" s="119">
        <v>0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</row>
    <row r="19" spans="1:24" x14ac:dyDescent="0.35">
      <c r="A19" s="1">
        <v>44228</v>
      </c>
      <c r="B19" s="67">
        <v>24998823</v>
      </c>
      <c r="C19" s="67"/>
      <c r="D19" s="67" t="s">
        <v>31</v>
      </c>
      <c r="E19" s="67" t="s">
        <v>36</v>
      </c>
      <c r="F19" s="119">
        <v>1</v>
      </c>
      <c r="G19" s="119">
        <v>0</v>
      </c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</row>
    <row r="20" spans="1:24" x14ac:dyDescent="0.35">
      <c r="A20" s="1">
        <v>44228</v>
      </c>
      <c r="B20" s="67">
        <v>24998823</v>
      </c>
      <c r="C20" s="67"/>
      <c r="D20" s="67" t="s">
        <v>31</v>
      </c>
      <c r="E20" s="67" t="s">
        <v>37</v>
      </c>
      <c r="F20" s="119">
        <v>1</v>
      </c>
      <c r="G20" s="119">
        <v>0</v>
      </c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</row>
    <row r="21" spans="1:24" x14ac:dyDescent="0.35">
      <c r="A21" s="1">
        <v>44228</v>
      </c>
      <c r="B21" s="67">
        <v>24998823</v>
      </c>
      <c r="C21" s="67"/>
      <c r="D21" s="67" t="s">
        <v>31</v>
      </c>
      <c r="E21" s="67" t="s">
        <v>38</v>
      </c>
      <c r="F21" s="119">
        <v>1</v>
      </c>
      <c r="G21" s="119">
        <v>0</v>
      </c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</row>
    <row r="22" spans="1:24" x14ac:dyDescent="0.35">
      <c r="A22" s="1">
        <v>44228</v>
      </c>
      <c r="B22" s="67">
        <v>24998823</v>
      </c>
      <c r="C22" s="67"/>
      <c r="D22" s="67" t="s">
        <v>31</v>
      </c>
      <c r="E22" s="67" t="s">
        <v>39</v>
      </c>
      <c r="F22" s="119">
        <v>1</v>
      </c>
      <c r="G22" s="119">
        <v>0</v>
      </c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</row>
    <row r="23" spans="1:24" x14ac:dyDescent="0.35">
      <c r="A23" s="1">
        <v>44228</v>
      </c>
      <c r="B23" s="67">
        <v>24998823</v>
      </c>
      <c r="C23" s="67"/>
      <c r="D23" s="67" t="s">
        <v>31</v>
      </c>
      <c r="E23" s="67" t="s">
        <v>40</v>
      </c>
      <c r="F23" s="119">
        <v>1</v>
      </c>
      <c r="G23" s="119">
        <v>0</v>
      </c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</row>
    <row r="24" spans="1:24" x14ac:dyDescent="0.35">
      <c r="A24" s="1">
        <v>44228</v>
      </c>
      <c r="B24" s="67">
        <v>24998823</v>
      </c>
      <c r="C24" s="67"/>
      <c r="D24" s="67" t="s">
        <v>31</v>
      </c>
      <c r="E24" s="67" t="s">
        <v>41</v>
      </c>
      <c r="F24" s="119">
        <v>1</v>
      </c>
      <c r="G24" s="119">
        <v>0</v>
      </c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</row>
    <row r="25" spans="1:24" x14ac:dyDescent="0.35">
      <c r="A25" s="1">
        <v>44228</v>
      </c>
      <c r="B25" s="67">
        <v>24998823</v>
      </c>
      <c r="C25" s="67"/>
      <c r="D25" s="67" t="s">
        <v>31</v>
      </c>
      <c r="E25" s="67" t="s">
        <v>42</v>
      </c>
      <c r="F25" s="119">
        <v>1</v>
      </c>
      <c r="G25" s="119">
        <v>0</v>
      </c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</row>
    <row r="26" spans="1:24" x14ac:dyDescent="0.35">
      <c r="A26" s="1">
        <v>44228</v>
      </c>
      <c r="B26" s="67">
        <v>24998823</v>
      </c>
      <c r="C26" s="67"/>
      <c r="D26" s="67" t="s">
        <v>31</v>
      </c>
      <c r="E26" s="67" t="s">
        <v>43</v>
      </c>
      <c r="F26" s="119">
        <v>1</v>
      </c>
      <c r="G26" s="119">
        <v>0</v>
      </c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</row>
    <row r="27" spans="1:24" x14ac:dyDescent="0.35">
      <c r="A27" s="1"/>
      <c r="B27" s="67"/>
      <c r="C27" s="67"/>
      <c r="D27" s="67"/>
      <c r="E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</row>
    <row r="28" spans="1:24" x14ac:dyDescent="0.35">
      <c r="A28" s="1">
        <v>44228</v>
      </c>
      <c r="B28" s="67">
        <v>24998823</v>
      </c>
      <c r="C28" s="67"/>
      <c r="D28" s="67" t="s">
        <v>31</v>
      </c>
      <c r="E28" s="67" t="s">
        <v>32</v>
      </c>
      <c r="F28" s="119">
        <v>0</v>
      </c>
      <c r="G28" s="119">
        <v>1</v>
      </c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</row>
    <row r="29" spans="1:24" x14ac:dyDescent="0.35">
      <c r="A29" s="1">
        <v>44228</v>
      </c>
      <c r="B29" s="67">
        <v>24998823</v>
      </c>
      <c r="C29" s="67"/>
      <c r="D29" s="67" t="s">
        <v>31</v>
      </c>
      <c r="E29" s="67" t="s">
        <v>33</v>
      </c>
      <c r="F29" s="119">
        <v>0</v>
      </c>
      <c r="G29" s="119">
        <v>1</v>
      </c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</row>
    <row r="30" spans="1:24" x14ac:dyDescent="0.35">
      <c r="A30" s="1">
        <v>44228</v>
      </c>
      <c r="B30" s="67">
        <v>24998823</v>
      </c>
      <c r="C30" s="67"/>
      <c r="D30" s="67" t="s">
        <v>31</v>
      </c>
      <c r="E30" s="67" t="s">
        <v>34</v>
      </c>
      <c r="F30" s="119">
        <v>0</v>
      </c>
      <c r="G30" s="119">
        <v>1</v>
      </c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</row>
    <row r="31" spans="1:24" x14ac:dyDescent="0.35">
      <c r="A31" s="1">
        <v>44228</v>
      </c>
      <c r="B31" s="67">
        <v>24998823</v>
      </c>
      <c r="C31" s="67"/>
      <c r="D31" s="67" t="s">
        <v>31</v>
      </c>
      <c r="E31" s="67" t="s">
        <v>35</v>
      </c>
      <c r="F31" s="119">
        <v>0</v>
      </c>
      <c r="G31" s="119">
        <v>1</v>
      </c>
    </row>
    <row r="32" spans="1:24" x14ac:dyDescent="0.35">
      <c r="A32" s="1">
        <v>44228</v>
      </c>
      <c r="B32" s="67">
        <v>24998823</v>
      </c>
      <c r="C32" s="67"/>
      <c r="D32" s="67" t="s">
        <v>31</v>
      </c>
      <c r="E32" s="67" t="s">
        <v>36</v>
      </c>
      <c r="F32" s="119">
        <v>0</v>
      </c>
      <c r="G32" s="119">
        <v>1</v>
      </c>
    </row>
    <row r="33" spans="1:7" x14ac:dyDescent="0.35">
      <c r="A33" s="1">
        <v>44228</v>
      </c>
      <c r="B33" s="67">
        <v>24998823</v>
      </c>
      <c r="C33" s="67"/>
      <c r="D33" s="67" t="s">
        <v>31</v>
      </c>
      <c r="E33" s="67" t="s">
        <v>37</v>
      </c>
      <c r="F33" s="119">
        <v>0</v>
      </c>
      <c r="G33" s="119">
        <v>1</v>
      </c>
    </row>
    <row r="34" spans="1:7" x14ac:dyDescent="0.35">
      <c r="A34" s="1">
        <v>44228</v>
      </c>
      <c r="B34" s="67">
        <v>24998823</v>
      </c>
      <c r="C34" s="67"/>
      <c r="D34" s="67" t="s">
        <v>31</v>
      </c>
      <c r="E34" s="67" t="s">
        <v>38</v>
      </c>
      <c r="F34" s="119">
        <v>0</v>
      </c>
      <c r="G34" s="119">
        <v>1</v>
      </c>
    </row>
    <row r="35" spans="1:7" x14ac:dyDescent="0.35">
      <c r="A35" s="1">
        <v>44228</v>
      </c>
      <c r="B35" s="67">
        <v>24998823</v>
      </c>
      <c r="C35" s="67"/>
      <c r="D35" s="67" t="s">
        <v>31</v>
      </c>
      <c r="E35" s="67" t="s">
        <v>39</v>
      </c>
      <c r="F35" s="119">
        <v>0</v>
      </c>
      <c r="G35" s="119">
        <v>1</v>
      </c>
    </row>
    <row r="36" spans="1:7" x14ac:dyDescent="0.35">
      <c r="A36" s="1">
        <v>44228</v>
      </c>
      <c r="B36" s="67">
        <v>24998823</v>
      </c>
      <c r="C36" s="67"/>
      <c r="D36" s="67" t="s">
        <v>31</v>
      </c>
      <c r="E36" s="67" t="s">
        <v>40</v>
      </c>
      <c r="F36" s="119">
        <v>0</v>
      </c>
      <c r="G36" s="119">
        <v>1</v>
      </c>
    </row>
    <row r="37" spans="1:7" x14ac:dyDescent="0.35">
      <c r="A37" s="1">
        <v>44228</v>
      </c>
      <c r="B37" s="67">
        <v>24998823</v>
      </c>
      <c r="C37" s="67"/>
      <c r="D37" s="67" t="s">
        <v>31</v>
      </c>
      <c r="E37" s="67" t="s">
        <v>41</v>
      </c>
      <c r="F37" s="119">
        <v>0</v>
      </c>
      <c r="G37" s="119">
        <v>1</v>
      </c>
    </row>
    <row r="38" spans="1:7" x14ac:dyDescent="0.35">
      <c r="A38" s="1">
        <v>44228</v>
      </c>
      <c r="B38" s="67">
        <v>24998823</v>
      </c>
      <c r="C38" s="67"/>
      <c r="D38" s="67" t="s">
        <v>31</v>
      </c>
      <c r="E38" s="67" t="s">
        <v>42</v>
      </c>
      <c r="F38" s="119">
        <v>0</v>
      </c>
      <c r="G38" s="119">
        <v>1</v>
      </c>
    </row>
    <row r="39" spans="1:7" x14ac:dyDescent="0.35">
      <c r="A39" s="1">
        <v>44228</v>
      </c>
      <c r="B39" s="67">
        <v>24998823</v>
      </c>
      <c r="C39" s="67"/>
      <c r="D39" s="67" t="s">
        <v>31</v>
      </c>
      <c r="E39" s="67" t="s">
        <v>43</v>
      </c>
      <c r="F39" s="119">
        <v>0</v>
      </c>
      <c r="G39" s="119">
        <v>1</v>
      </c>
    </row>
    <row r="40" spans="1:7" x14ac:dyDescent="0.35">
      <c r="A40" s="1"/>
      <c r="B40" s="67"/>
      <c r="C40" s="67"/>
      <c r="D40" s="67"/>
      <c r="E40" s="67"/>
    </row>
    <row r="41" spans="1:7" x14ac:dyDescent="0.35">
      <c r="A41" s="1">
        <v>44228</v>
      </c>
      <c r="B41" s="67">
        <v>24998823</v>
      </c>
      <c r="C41" s="67"/>
      <c r="D41" s="67" t="s">
        <v>31</v>
      </c>
      <c r="E41" s="67" t="s">
        <v>32</v>
      </c>
      <c r="F41" s="119">
        <v>1</v>
      </c>
      <c r="G41" s="119">
        <v>1</v>
      </c>
    </row>
    <row r="42" spans="1:7" x14ac:dyDescent="0.35">
      <c r="A42" s="1">
        <v>44228</v>
      </c>
      <c r="B42" s="67">
        <v>24998823</v>
      </c>
      <c r="C42" s="67"/>
      <c r="D42" s="67" t="s">
        <v>31</v>
      </c>
      <c r="E42" s="67" t="s">
        <v>33</v>
      </c>
      <c r="F42" s="119">
        <v>1</v>
      </c>
      <c r="G42" s="119">
        <v>1</v>
      </c>
    </row>
    <row r="43" spans="1:7" x14ac:dyDescent="0.35">
      <c r="A43" s="1">
        <v>44228</v>
      </c>
      <c r="B43" s="67">
        <v>24998823</v>
      </c>
      <c r="C43" s="67"/>
      <c r="D43" s="67" t="s">
        <v>31</v>
      </c>
      <c r="E43" s="67" t="s">
        <v>34</v>
      </c>
      <c r="F43" s="119">
        <v>1</v>
      </c>
      <c r="G43" s="119">
        <v>1</v>
      </c>
    </row>
    <row r="44" spans="1:7" x14ac:dyDescent="0.35">
      <c r="A44" s="1">
        <v>44228</v>
      </c>
      <c r="B44" s="67">
        <v>24998823</v>
      </c>
      <c r="C44" s="67"/>
      <c r="D44" s="67" t="s">
        <v>31</v>
      </c>
      <c r="E44" s="67" t="s">
        <v>35</v>
      </c>
      <c r="F44" s="119">
        <v>1</v>
      </c>
      <c r="G44" s="119">
        <v>1</v>
      </c>
    </row>
    <row r="45" spans="1:7" x14ac:dyDescent="0.35">
      <c r="A45" s="1">
        <v>44228</v>
      </c>
      <c r="B45" s="67">
        <v>24998823</v>
      </c>
      <c r="C45" s="67"/>
      <c r="D45" s="67" t="s">
        <v>31</v>
      </c>
      <c r="E45" s="67" t="s">
        <v>36</v>
      </c>
      <c r="F45" s="119">
        <v>1</v>
      </c>
      <c r="G45" s="119">
        <v>1</v>
      </c>
    </row>
    <row r="46" spans="1:7" x14ac:dyDescent="0.35">
      <c r="A46" s="1">
        <v>44228</v>
      </c>
      <c r="B46" s="67">
        <v>24998823</v>
      </c>
      <c r="C46" s="67"/>
      <c r="D46" s="67" t="s">
        <v>31</v>
      </c>
      <c r="E46" s="67" t="s">
        <v>37</v>
      </c>
      <c r="F46" s="119">
        <v>1</v>
      </c>
      <c r="G46" s="119">
        <v>1</v>
      </c>
    </row>
    <row r="47" spans="1:7" x14ac:dyDescent="0.35">
      <c r="A47" s="1">
        <v>44228</v>
      </c>
      <c r="B47" s="67">
        <v>24998823</v>
      </c>
      <c r="C47" s="67"/>
      <c r="D47" s="67" t="s">
        <v>31</v>
      </c>
      <c r="E47" s="67" t="s">
        <v>38</v>
      </c>
      <c r="F47" s="119">
        <v>1</v>
      </c>
      <c r="G47" s="119">
        <v>1</v>
      </c>
    </row>
    <row r="48" spans="1:7" x14ac:dyDescent="0.35">
      <c r="A48" s="1">
        <v>44228</v>
      </c>
      <c r="B48" s="67">
        <v>24998823</v>
      </c>
      <c r="C48" s="67"/>
      <c r="D48" s="67" t="s">
        <v>31</v>
      </c>
      <c r="E48" s="67" t="s">
        <v>39</v>
      </c>
      <c r="F48" s="119">
        <v>1</v>
      </c>
      <c r="G48" s="119">
        <v>1</v>
      </c>
    </row>
    <row r="49" spans="1:7" x14ac:dyDescent="0.35">
      <c r="A49" s="1">
        <v>44228</v>
      </c>
      <c r="B49" s="67">
        <v>24998823</v>
      </c>
      <c r="C49" s="67"/>
      <c r="D49" s="67" t="s">
        <v>31</v>
      </c>
      <c r="E49" s="67" t="s">
        <v>40</v>
      </c>
      <c r="F49" s="119">
        <v>1</v>
      </c>
      <c r="G49" s="119">
        <v>1</v>
      </c>
    </row>
    <row r="50" spans="1:7" x14ac:dyDescent="0.35">
      <c r="A50" s="1">
        <v>44228</v>
      </c>
      <c r="B50" s="67">
        <v>24998823</v>
      </c>
      <c r="C50" s="67"/>
      <c r="D50" s="67" t="s">
        <v>31</v>
      </c>
      <c r="E50" s="67" t="s">
        <v>41</v>
      </c>
      <c r="F50" s="119">
        <v>1</v>
      </c>
      <c r="G50" s="119">
        <v>1</v>
      </c>
    </row>
    <row r="51" spans="1:7" x14ac:dyDescent="0.35">
      <c r="A51" s="1">
        <v>44228</v>
      </c>
      <c r="B51" s="67">
        <v>24998823</v>
      </c>
      <c r="C51" s="67"/>
      <c r="D51" s="67" t="s">
        <v>31</v>
      </c>
      <c r="E51" s="67" t="s">
        <v>42</v>
      </c>
      <c r="F51" s="119">
        <v>1</v>
      </c>
      <c r="G51" s="119">
        <v>1</v>
      </c>
    </row>
    <row r="52" spans="1:7" x14ac:dyDescent="0.35">
      <c r="A52" s="1">
        <v>44228</v>
      </c>
      <c r="B52" s="67">
        <v>24998823</v>
      </c>
      <c r="C52" s="67"/>
      <c r="D52" s="67" t="s">
        <v>31</v>
      </c>
      <c r="E52" s="67" t="s">
        <v>43</v>
      </c>
      <c r="F52" s="119">
        <v>1</v>
      </c>
      <c r="G52" s="1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C310-F603-412F-9868-F8381C8B3484}">
  <dimension ref="A1:V73"/>
  <sheetViews>
    <sheetView workbookViewId="0">
      <selection activeCell="C2" sqref="C2"/>
    </sheetView>
  </sheetViews>
  <sheetFormatPr defaultRowHeight="14.5" x14ac:dyDescent="0.35"/>
  <cols>
    <col min="1" max="1" width="8.453125" bestFit="1" customWidth="1"/>
    <col min="2" max="2" width="9.36328125" bestFit="1" customWidth="1"/>
    <col min="3" max="3" width="8.36328125" bestFit="1" customWidth="1"/>
    <col min="4" max="4" width="13.26953125" bestFit="1" customWidth="1"/>
    <col min="5" max="5" width="18.453125" bestFit="1" customWidth="1"/>
    <col min="6" max="12" width="19.1796875" bestFit="1" customWidth="1"/>
    <col min="13" max="14" width="18.54296875" bestFit="1" customWidth="1"/>
    <col min="15" max="16" width="9.81640625" bestFit="1" customWidth="1"/>
    <col min="17" max="17" width="22.54296875" bestFit="1" customWidth="1"/>
    <col min="18" max="18" width="14.81640625" bestFit="1" customWidth="1"/>
    <col min="19" max="22" width="15.81640625" bestFit="1" customWidth="1"/>
  </cols>
  <sheetData>
    <row r="1" spans="1:22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</row>
    <row r="2" spans="1:22" x14ac:dyDescent="0.35">
      <c r="A2" s="1">
        <v>44228</v>
      </c>
      <c r="B2">
        <v>24998823</v>
      </c>
      <c r="C2">
        <v>3305509</v>
      </c>
      <c r="D2" t="s">
        <v>31</v>
      </c>
      <c r="E2" t="s">
        <v>32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  <c r="K2" t="s">
        <v>197</v>
      </c>
      <c r="L2" t="s">
        <v>198</v>
      </c>
      <c r="M2" t="s">
        <v>199</v>
      </c>
      <c r="N2" t="s">
        <v>200</v>
      </c>
      <c r="O2">
        <v>8381050</v>
      </c>
      <c r="P2">
        <v>16598795</v>
      </c>
      <c r="Q2" t="s">
        <v>201</v>
      </c>
      <c r="R2">
        <v>2374613</v>
      </c>
      <c r="S2">
        <v>2164288</v>
      </c>
      <c r="T2">
        <v>2003728</v>
      </c>
      <c r="U2">
        <v>1419706</v>
      </c>
      <c r="V2">
        <v>770951</v>
      </c>
    </row>
    <row r="3" spans="1:22" x14ac:dyDescent="0.35">
      <c r="A3" s="1">
        <v>44228</v>
      </c>
      <c r="B3">
        <v>24998823</v>
      </c>
      <c r="C3">
        <v>1183742</v>
      </c>
      <c r="D3" t="s">
        <v>31</v>
      </c>
      <c r="E3" t="s">
        <v>33</v>
      </c>
      <c r="F3" t="s">
        <v>202</v>
      </c>
      <c r="G3" t="s">
        <v>203</v>
      </c>
      <c r="H3" t="s">
        <v>204</v>
      </c>
      <c r="I3" t="s">
        <v>205</v>
      </c>
      <c r="J3" t="s">
        <v>206</v>
      </c>
      <c r="K3" t="s">
        <v>207</v>
      </c>
      <c r="L3" t="s">
        <v>208</v>
      </c>
      <c r="M3" t="s">
        <v>209</v>
      </c>
      <c r="N3" t="s">
        <v>210</v>
      </c>
      <c r="O3">
        <v>16673168</v>
      </c>
      <c r="P3">
        <v>20410798</v>
      </c>
      <c r="Q3" t="s">
        <v>211</v>
      </c>
      <c r="R3">
        <v>640519</v>
      </c>
      <c r="S3">
        <v>584395</v>
      </c>
      <c r="T3">
        <v>549121</v>
      </c>
      <c r="U3">
        <v>404751</v>
      </c>
      <c r="V3">
        <v>223102</v>
      </c>
    </row>
    <row r="4" spans="1:22" x14ac:dyDescent="0.35">
      <c r="A4" s="1">
        <v>44228</v>
      </c>
      <c r="B4">
        <v>24998823</v>
      </c>
      <c r="C4">
        <v>64610</v>
      </c>
      <c r="D4" t="s">
        <v>31</v>
      </c>
      <c r="E4" t="s">
        <v>34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K4" t="s">
        <v>217</v>
      </c>
      <c r="L4" t="s">
        <v>218</v>
      </c>
      <c r="M4" t="s">
        <v>219</v>
      </c>
      <c r="N4" t="s">
        <v>220</v>
      </c>
      <c r="O4">
        <v>7071441</v>
      </c>
      <c r="P4">
        <v>6097574</v>
      </c>
      <c r="Q4" t="s">
        <v>221</v>
      </c>
      <c r="R4">
        <v>10753</v>
      </c>
      <c r="S4">
        <v>9404</v>
      </c>
      <c r="T4">
        <v>8563</v>
      </c>
      <c r="U4">
        <v>7329</v>
      </c>
      <c r="V4">
        <v>4424</v>
      </c>
    </row>
    <row r="5" spans="1:22" x14ac:dyDescent="0.35">
      <c r="A5" s="1">
        <v>44228</v>
      </c>
      <c r="B5">
        <v>24998823</v>
      </c>
      <c r="C5">
        <v>40777</v>
      </c>
      <c r="D5" t="s">
        <v>31</v>
      </c>
      <c r="E5" t="s">
        <v>35</v>
      </c>
      <c r="F5" t="s">
        <v>222</v>
      </c>
      <c r="G5" t="s">
        <v>223</v>
      </c>
      <c r="H5" t="s">
        <v>224</v>
      </c>
      <c r="I5" t="s">
        <v>225</v>
      </c>
      <c r="J5" t="s">
        <v>226</v>
      </c>
      <c r="K5" t="s">
        <v>227</v>
      </c>
      <c r="L5" t="s">
        <v>228</v>
      </c>
      <c r="M5" t="s">
        <v>229</v>
      </c>
      <c r="N5" t="s">
        <v>230</v>
      </c>
      <c r="O5">
        <v>5254319</v>
      </c>
      <c r="P5">
        <v>4330380</v>
      </c>
      <c r="Q5" t="s">
        <v>231</v>
      </c>
      <c r="R5">
        <v>6313</v>
      </c>
      <c r="S5">
        <v>5561</v>
      </c>
      <c r="T5">
        <v>5070</v>
      </c>
      <c r="U5">
        <v>4328</v>
      </c>
      <c r="V5">
        <v>2598</v>
      </c>
    </row>
    <row r="6" spans="1:22" x14ac:dyDescent="0.35">
      <c r="A6" s="1">
        <v>44228</v>
      </c>
      <c r="B6">
        <v>24998823</v>
      </c>
      <c r="C6">
        <v>45011</v>
      </c>
      <c r="D6" t="s">
        <v>31</v>
      </c>
      <c r="E6" t="s">
        <v>36</v>
      </c>
      <c r="F6" t="s">
        <v>232</v>
      </c>
      <c r="G6" t="s">
        <v>233</v>
      </c>
      <c r="H6" t="s">
        <v>234</v>
      </c>
      <c r="I6" t="s">
        <v>235</v>
      </c>
      <c r="J6" t="s">
        <v>236</v>
      </c>
      <c r="K6" t="s">
        <v>237</v>
      </c>
      <c r="L6" t="s">
        <v>238</v>
      </c>
      <c r="M6" t="s">
        <v>239</v>
      </c>
      <c r="N6" t="s">
        <v>240</v>
      </c>
      <c r="O6">
        <v>6849945</v>
      </c>
      <c r="P6">
        <v>5403248</v>
      </c>
      <c r="Q6" t="s">
        <v>241</v>
      </c>
      <c r="R6">
        <v>6282</v>
      </c>
      <c r="S6">
        <v>5566</v>
      </c>
      <c r="T6">
        <v>5046</v>
      </c>
      <c r="U6">
        <v>4331</v>
      </c>
      <c r="V6">
        <v>2619</v>
      </c>
    </row>
    <row r="7" spans="1:22" x14ac:dyDescent="0.35">
      <c r="A7" s="1">
        <v>44228</v>
      </c>
      <c r="B7">
        <v>24998823</v>
      </c>
      <c r="C7">
        <v>35053</v>
      </c>
      <c r="D7" t="s">
        <v>31</v>
      </c>
      <c r="E7" t="s">
        <v>37</v>
      </c>
      <c r="F7" t="s">
        <v>242</v>
      </c>
      <c r="G7" t="s">
        <v>243</v>
      </c>
      <c r="H7" t="s">
        <v>244</v>
      </c>
      <c r="I7" t="s">
        <v>245</v>
      </c>
      <c r="J7" t="s">
        <v>246</v>
      </c>
      <c r="K7" t="s">
        <v>247</v>
      </c>
      <c r="L7" t="s">
        <v>248</v>
      </c>
      <c r="M7" t="s">
        <v>249</v>
      </c>
      <c r="N7" t="s">
        <v>250</v>
      </c>
      <c r="O7">
        <v>6884552</v>
      </c>
      <c r="P7">
        <v>5222454</v>
      </c>
      <c r="Q7" t="s">
        <v>251</v>
      </c>
      <c r="R7">
        <v>4227</v>
      </c>
      <c r="S7">
        <v>3797</v>
      </c>
      <c r="T7">
        <v>3448</v>
      </c>
      <c r="U7">
        <v>3029</v>
      </c>
      <c r="V7">
        <v>1809</v>
      </c>
    </row>
    <row r="8" spans="1:22" x14ac:dyDescent="0.35">
      <c r="A8" s="1">
        <v>44228</v>
      </c>
      <c r="B8">
        <v>24998823</v>
      </c>
      <c r="C8">
        <v>543336</v>
      </c>
      <c r="D8" t="s">
        <v>31</v>
      </c>
      <c r="E8" t="s">
        <v>38</v>
      </c>
      <c r="F8" t="s">
        <v>252</v>
      </c>
      <c r="G8" t="s">
        <v>253</v>
      </c>
      <c r="H8" t="s">
        <v>254</v>
      </c>
      <c r="I8" t="s">
        <v>255</v>
      </c>
      <c r="J8" t="s">
        <v>256</v>
      </c>
      <c r="K8" t="s">
        <v>257</v>
      </c>
      <c r="L8" t="s">
        <v>258</v>
      </c>
      <c r="M8" t="s">
        <v>259</v>
      </c>
      <c r="N8" t="s">
        <v>260</v>
      </c>
      <c r="O8">
        <v>20683127</v>
      </c>
      <c r="P8">
        <v>23311441</v>
      </c>
      <c r="Q8" t="s">
        <v>261</v>
      </c>
      <c r="R8">
        <v>156754</v>
      </c>
      <c r="S8">
        <v>132691</v>
      </c>
      <c r="T8">
        <v>118857</v>
      </c>
      <c r="U8">
        <v>96080</v>
      </c>
      <c r="V8">
        <v>55805</v>
      </c>
    </row>
    <row r="9" spans="1:22" x14ac:dyDescent="0.35">
      <c r="A9" s="1">
        <v>44228</v>
      </c>
      <c r="B9">
        <v>24998823</v>
      </c>
      <c r="C9">
        <v>18661</v>
      </c>
      <c r="D9" t="s">
        <v>31</v>
      </c>
      <c r="E9" t="s">
        <v>39</v>
      </c>
      <c r="F9" t="s">
        <v>262</v>
      </c>
      <c r="G9" t="s">
        <v>263</v>
      </c>
      <c r="H9" t="s">
        <v>264</v>
      </c>
      <c r="I9" t="s">
        <v>265</v>
      </c>
      <c r="J9" t="s">
        <v>266</v>
      </c>
      <c r="K9" t="s">
        <v>267</v>
      </c>
      <c r="L9" t="s">
        <v>268</v>
      </c>
      <c r="M9" t="s">
        <v>269</v>
      </c>
      <c r="N9" t="s">
        <v>270</v>
      </c>
      <c r="O9">
        <v>4939253</v>
      </c>
      <c r="P9">
        <v>3814994</v>
      </c>
      <c r="Q9" t="s">
        <v>271</v>
      </c>
      <c r="R9">
        <v>1794</v>
      </c>
      <c r="S9">
        <v>1632</v>
      </c>
      <c r="T9">
        <v>1500</v>
      </c>
      <c r="U9">
        <v>1322</v>
      </c>
      <c r="V9">
        <v>852</v>
      </c>
    </row>
    <row r="10" spans="1:22" x14ac:dyDescent="0.35">
      <c r="A10" s="1">
        <v>44228</v>
      </c>
      <c r="B10">
        <v>24998823</v>
      </c>
      <c r="C10">
        <v>226778</v>
      </c>
      <c r="D10" t="s">
        <v>31</v>
      </c>
      <c r="E10" t="s">
        <v>40</v>
      </c>
      <c r="F10" t="s">
        <v>272</v>
      </c>
      <c r="G10" t="s">
        <v>273</v>
      </c>
      <c r="H10" t="s">
        <v>274</v>
      </c>
      <c r="I10" t="s">
        <v>275</v>
      </c>
      <c r="J10" t="s">
        <v>276</v>
      </c>
      <c r="K10" t="s">
        <v>277</v>
      </c>
      <c r="L10" t="s">
        <v>278</v>
      </c>
      <c r="M10" t="s">
        <v>279</v>
      </c>
      <c r="N10" t="s">
        <v>280</v>
      </c>
      <c r="O10">
        <v>14357180</v>
      </c>
      <c r="P10">
        <v>14373727</v>
      </c>
      <c r="Q10" t="s">
        <v>281</v>
      </c>
      <c r="R10">
        <v>50487</v>
      </c>
      <c r="S10">
        <v>43431</v>
      </c>
      <c r="T10">
        <v>39153</v>
      </c>
      <c r="U10">
        <v>32589</v>
      </c>
      <c r="V10">
        <v>19232</v>
      </c>
    </row>
    <row r="11" spans="1:22" x14ac:dyDescent="0.35">
      <c r="A11" s="1">
        <v>44228</v>
      </c>
      <c r="B11">
        <v>24998823</v>
      </c>
      <c r="C11">
        <v>114773</v>
      </c>
      <c r="D11" t="s">
        <v>31</v>
      </c>
      <c r="E11" t="s">
        <v>41</v>
      </c>
      <c r="F11" t="s">
        <v>282</v>
      </c>
      <c r="G11" t="s">
        <v>283</v>
      </c>
      <c r="H11" t="s">
        <v>284</v>
      </c>
      <c r="I11" t="s">
        <v>285</v>
      </c>
      <c r="J11" t="s">
        <v>286</v>
      </c>
      <c r="K11" t="s">
        <v>287</v>
      </c>
      <c r="L11" t="s">
        <v>288</v>
      </c>
      <c r="M11" t="s">
        <v>289</v>
      </c>
      <c r="N11" t="s">
        <v>290</v>
      </c>
      <c r="O11">
        <v>9879655</v>
      </c>
      <c r="P11">
        <v>9017273</v>
      </c>
      <c r="Q11" t="s">
        <v>291</v>
      </c>
      <c r="R11">
        <v>21683</v>
      </c>
      <c r="S11">
        <v>18773</v>
      </c>
      <c r="T11">
        <v>16936</v>
      </c>
      <c r="U11">
        <v>14160</v>
      </c>
      <c r="V11">
        <v>8462</v>
      </c>
    </row>
    <row r="12" spans="1:22" x14ac:dyDescent="0.35">
      <c r="A12" s="1">
        <v>44228</v>
      </c>
      <c r="B12">
        <v>24998823</v>
      </c>
      <c r="C12">
        <v>7987</v>
      </c>
      <c r="D12" t="s">
        <v>31</v>
      </c>
      <c r="E12" t="s">
        <v>42</v>
      </c>
      <c r="F12" t="s">
        <v>292</v>
      </c>
      <c r="G12" t="s">
        <v>293</v>
      </c>
      <c r="H12" t="s">
        <v>294</v>
      </c>
      <c r="I12" t="s">
        <v>295</v>
      </c>
      <c r="J12" t="s">
        <v>296</v>
      </c>
      <c r="K12" t="s">
        <v>297</v>
      </c>
      <c r="L12" t="s">
        <v>298</v>
      </c>
      <c r="M12" t="s">
        <v>299</v>
      </c>
      <c r="N12" t="s">
        <v>300</v>
      </c>
      <c r="O12">
        <v>3099015</v>
      </c>
      <c r="P12">
        <v>2351614</v>
      </c>
      <c r="Q12" t="s">
        <v>301</v>
      </c>
      <c r="R12">
        <v>669</v>
      </c>
      <c r="S12">
        <v>609</v>
      </c>
      <c r="T12">
        <v>539</v>
      </c>
      <c r="U12">
        <v>451</v>
      </c>
      <c r="V12">
        <v>274</v>
      </c>
    </row>
    <row r="13" spans="1:22" x14ac:dyDescent="0.35">
      <c r="A13" s="1">
        <v>44228</v>
      </c>
      <c r="B13">
        <v>24998823</v>
      </c>
      <c r="C13">
        <v>114225</v>
      </c>
      <c r="D13" t="s">
        <v>31</v>
      </c>
      <c r="E13" t="s">
        <v>43</v>
      </c>
      <c r="F13" t="s">
        <v>302</v>
      </c>
      <c r="G13" t="s">
        <v>303</v>
      </c>
      <c r="H13" t="s">
        <v>304</v>
      </c>
      <c r="I13" t="s">
        <v>305</v>
      </c>
      <c r="J13" t="s">
        <v>306</v>
      </c>
      <c r="K13" t="s">
        <v>307</v>
      </c>
      <c r="L13" t="s">
        <v>308</v>
      </c>
      <c r="M13" t="s">
        <v>309</v>
      </c>
      <c r="N13" t="s">
        <v>310</v>
      </c>
      <c r="O13">
        <v>215141</v>
      </c>
      <c r="P13">
        <v>149968</v>
      </c>
      <c r="Q13" t="s">
        <v>311</v>
      </c>
      <c r="R13">
        <v>43905</v>
      </c>
      <c r="S13">
        <v>40752</v>
      </c>
      <c r="T13">
        <v>38103</v>
      </c>
      <c r="U13">
        <v>28696</v>
      </c>
      <c r="V13">
        <v>19674</v>
      </c>
    </row>
    <row r="14" spans="1:22" x14ac:dyDescent="0.35">
      <c r="A14" s="1">
        <v>44228</v>
      </c>
      <c r="B14">
        <v>24998823</v>
      </c>
      <c r="C14">
        <v>1031232</v>
      </c>
      <c r="D14" t="s">
        <v>44</v>
      </c>
      <c r="E14" t="s">
        <v>32</v>
      </c>
      <c r="F14" t="s">
        <v>312</v>
      </c>
      <c r="G14" t="s">
        <v>313</v>
      </c>
      <c r="H14" t="s">
        <v>314</v>
      </c>
      <c r="I14" t="s">
        <v>315</v>
      </c>
      <c r="J14" t="s">
        <v>316</v>
      </c>
      <c r="K14" t="s">
        <v>317</v>
      </c>
      <c r="L14" t="s">
        <v>318</v>
      </c>
      <c r="M14" t="s">
        <v>319</v>
      </c>
      <c r="N14" t="s">
        <v>320</v>
      </c>
      <c r="O14">
        <v>1677106</v>
      </c>
      <c r="P14">
        <v>14229956</v>
      </c>
      <c r="Q14" t="s">
        <v>321</v>
      </c>
      <c r="R14">
        <v>690064</v>
      </c>
      <c r="S14">
        <v>576172</v>
      </c>
      <c r="T14">
        <v>476119</v>
      </c>
      <c r="U14">
        <v>264814</v>
      </c>
      <c r="V14">
        <v>137098</v>
      </c>
    </row>
    <row r="15" spans="1:22" x14ac:dyDescent="0.35">
      <c r="A15" s="1">
        <v>44228</v>
      </c>
      <c r="B15">
        <v>24998823</v>
      </c>
      <c r="C15">
        <v>525589</v>
      </c>
      <c r="D15" t="s">
        <v>44</v>
      </c>
      <c r="E15" t="s">
        <v>33</v>
      </c>
      <c r="F15" t="s">
        <v>322</v>
      </c>
      <c r="G15" t="s">
        <v>323</v>
      </c>
      <c r="H15" t="s">
        <v>324</v>
      </c>
      <c r="I15" t="s">
        <v>325</v>
      </c>
      <c r="J15" t="s">
        <v>326</v>
      </c>
      <c r="K15" t="s">
        <v>327</v>
      </c>
      <c r="L15" t="s">
        <v>328</v>
      </c>
      <c r="M15" t="s">
        <v>329</v>
      </c>
      <c r="N15" t="s">
        <v>330</v>
      </c>
      <c r="O15">
        <v>5788184</v>
      </c>
      <c r="P15">
        <v>18751927</v>
      </c>
      <c r="Q15" t="s">
        <v>331</v>
      </c>
      <c r="R15">
        <v>204713</v>
      </c>
      <c r="S15">
        <v>156278</v>
      </c>
      <c r="T15">
        <v>127014</v>
      </c>
      <c r="U15">
        <v>81335</v>
      </c>
      <c r="V15">
        <v>39827</v>
      </c>
    </row>
    <row r="16" spans="1:22" x14ac:dyDescent="0.35">
      <c r="A16" s="1">
        <v>44228</v>
      </c>
      <c r="B16">
        <v>24998823</v>
      </c>
      <c r="C16">
        <v>147765</v>
      </c>
      <c r="D16" t="s">
        <v>44</v>
      </c>
      <c r="E16" t="s">
        <v>34</v>
      </c>
      <c r="F16" t="s">
        <v>332</v>
      </c>
      <c r="G16" t="s">
        <v>333</v>
      </c>
      <c r="H16" t="s">
        <v>334</v>
      </c>
      <c r="I16" t="s">
        <v>335</v>
      </c>
      <c r="J16" t="s">
        <v>336</v>
      </c>
      <c r="K16" t="s">
        <v>337</v>
      </c>
      <c r="L16" t="s">
        <v>338</v>
      </c>
      <c r="M16" t="s">
        <v>339</v>
      </c>
      <c r="N16" t="s">
        <v>340</v>
      </c>
      <c r="O16">
        <v>8599250</v>
      </c>
      <c r="P16">
        <v>17521192</v>
      </c>
      <c r="Q16" t="s">
        <v>341</v>
      </c>
      <c r="R16">
        <v>12681</v>
      </c>
      <c r="S16">
        <v>9620</v>
      </c>
      <c r="T16">
        <v>7900</v>
      </c>
      <c r="U16">
        <v>6127</v>
      </c>
      <c r="V16">
        <v>3305</v>
      </c>
    </row>
    <row r="17" spans="1:22" x14ac:dyDescent="0.35">
      <c r="A17" s="1">
        <v>44228</v>
      </c>
      <c r="B17">
        <v>24998823</v>
      </c>
      <c r="C17">
        <v>105900</v>
      </c>
      <c r="D17" t="s">
        <v>44</v>
      </c>
      <c r="E17" t="s">
        <v>35</v>
      </c>
      <c r="F17" t="s">
        <v>342</v>
      </c>
      <c r="G17" t="s">
        <v>343</v>
      </c>
      <c r="H17" t="s">
        <v>344</v>
      </c>
      <c r="I17" t="s">
        <v>345</v>
      </c>
      <c r="J17" t="s">
        <v>346</v>
      </c>
      <c r="K17" t="s">
        <v>347</v>
      </c>
      <c r="L17" t="s">
        <v>348</v>
      </c>
      <c r="M17" t="s">
        <v>349</v>
      </c>
      <c r="N17" t="s">
        <v>350</v>
      </c>
      <c r="O17">
        <v>7648161</v>
      </c>
      <c r="P17">
        <v>14070521</v>
      </c>
      <c r="Q17" t="s">
        <v>351</v>
      </c>
      <c r="R17">
        <v>7578</v>
      </c>
      <c r="S17">
        <v>5905</v>
      </c>
      <c r="T17">
        <v>4853</v>
      </c>
      <c r="U17">
        <v>3850</v>
      </c>
      <c r="V17">
        <v>2120</v>
      </c>
    </row>
    <row r="18" spans="1:22" x14ac:dyDescent="0.35">
      <c r="A18" s="1">
        <v>44228</v>
      </c>
      <c r="B18">
        <v>24998823</v>
      </c>
      <c r="C18">
        <v>136800</v>
      </c>
      <c r="D18" t="s">
        <v>44</v>
      </c>
      <c r="E18" t="s">
        <v>36</v>
      </c>
      <c r="F18" t="s">
        <v>352</v>
      </c>
      <c r="G18" t="s">
        <v>353</v>
      </c>
      <c r="H18" t="s">
        <v>354</v>
      </c>
      <c r="I18" t="s">
        <v>355</v>
      </c>
      <c r="J18" t="s">
        <v>356</v>
      </c>
      <c r="K18" t="s">
        <v>357</v>
      </c>
      <c r="L18" t="s">
        <v>358</v>
      </c>
      <c r="M18" t="s">
        <v>359</v>
      </c>
      <c r="N18" t="s">
        <v>360</v>
      </c>
      <c r="O18">
        <v>12532353</v>
      </c>
      <c r="P18">
        <v>20675457</v>
      </c>
      <c r="Q18" t="s">
        <v>361</v>
      </c>
      <c r="R18">
        <v>8099</v>
      </c>
      <c r="S18">
        <v>6281</v>
      </c>
      <c r="T18">
        <v>5151</v>
      </c>
      <c r="U18">
        <v>3991</v>
      </c>
      <c r="V18">
        <v>2275</v>
      </c>
    </row>
    <row r="19" spans="1:22" x14ac:dyDescent="0.35">
      <c r="A19" s="1">
        <v>44228</v>
      </c>
      <c r="B19">
        <v>24998823</v>
      </c>
      <c r="C19">
        <v>136033</v>
      </c>
      <c r="D19" t="s">
        <v>44</v>
      </c>
      <c r="E19" t="s">
        <v>37</v>
      </c>
      <c r="F19" t="s">
        <v>362</v>
      </c>
      <c r="G19" t="s">
        <v>363</v>
      </c>
      <c r="H19" t="s">
        <v>364</v>
      </c>
      <c r="I19" t="s">
        <v>365</v>
      </c>
      <c r="J19" t="s">
        <v>366</v>
      </c>
      <c r="K19" t="s">
        <v>367</v>
      </c>
      <c r="L19" t="s">
        <v>368</v>
      </c>
      <c r="M19" t="s">
        <v>369</v>
      </c>
      <c r="N19" t="s">
        <v>370</v>
      </c>
      <c r="O19">
        <v>17708864</v>
      </c>
      <c r="P19">
        <v>24241001</v>
      </c>
      <c r="Q19" t="s">
        <v>371</v>
      </c>
      <c r="R19">
        <v>6007</v>
      </c>
      <c r="S19">
        <v>4697</v>
      </c>
      <c r="T19">
        <v>3905</v>
      </c>
      <c r="U19">
        <v>3146</v>
      </c>
      <c r="V19">
        <v>1691</v>
      </c>
    </row>
    <row r="20" spans="1:22" x14ac:dyDescent="0.35">
      <c r="A20" s="1">
        <v>44228</v>
      </c>
      <c r="B20">
        <v>24998823</v>
      </c>
      <c r="C20">
        <v>523516</v>
      </c>
      <c r="D20" t="s">
        <v>44</v>
      </c>
      <c r="E20" t="s">
        <v>38</v>
      </c>
      <c r="F20" t="s">
        <v>372</v>
      </c>
      <c r="G20" t="s">
        <v>373</v>
      </c>
      <c r="H20" t="s">
        <v>374</v>
      </c>
      <c r="I20" t="s">
        <v>375</v>
      </c>
      <c r="J20" t="s">
        <v>376</v>
      </c>
      <c r="K20" t="s">
        <v>377</v>
      </c>
      <c r="L20" t="s">
        <v>378</v>
      </c>
      <c r="M20" t="s">
        <v>379</v>
      </c>
      <c r="N20" t="s">
        <v>380</v>
      </c>
      <c r="O20">
        <v>11219160</v>
      </c>
      <c r="P20">
        <v>30459480</v>
      </c>
      <c r="Q20" t="s">
        <v>381</v>
      </c>
      <c r="R20">
        <v>123899</v>
      </c>
      <c r="S20">
        <v>92724</v>
      </c>
      <c r="T20">
        <v>75341</v>
      </c>
      <c r="U20">
        <v>53326</v>
      </c>
      <c r="V20">
        <v>26101</v>
      </c>
    </row>
    <row r="21" spans="1:22" x14ac:dyDescent="0.35">
      <c r="A21" s="1">
        <v>44228</v>
      </c>
      <c r="B21">
        <v>24998823</v>
      </c>
      <c r="C21">
        <v>95244</v>
      </c>
      <c r="D21" t="s">
        <v>44</v>
      </c>
      <c r="E21" t="s">
        <v>39</v>
      </c>
      <c r="F21" t="s">
        <v>382</v>
      </c>
      <c r="G21" t="s">
        <v>383</v>
      </c>
      <c r="H21" t="s">
        <v>384</v>
      </c>
      <c r="I21" t="s">
        <v>385</v>
      </c>
      <c r="J21" t="s">
        <v>386</v>
      </c>
      <c r="K21" t="s">
        <v>387</v>
      </c>
      <c r="L21" t="s">
        <v>388</v>
      </c>
      <c r="M21" t="s">
        <v>389</v>
      </c>
      <c r="N21" t="s">
        <v>390</v>
      </c>
      <c r="O21">
        <v>19149529</v>
      </c>
      <c r="P21">
        <v>21007946</v>
      </c>
      <c r="Q21" t="s">
        <v>391</v>
      </c>
      <c r="R21">
        <v>2897</v>
      </c>
      <c r="S21">
        <v>2348</v>
      </c>
      <c r="T21">
        <v>1955</v>
      </c>
      <c r="U21">
        <v>1628</v>
      </c>
      <c r="V21">
        <v>979</v>
      </c>
    </row>
    <row r="22" spans="1:22" x14ac:dyDescent="0.35">
      <c r="A22" s="1">
        <v>44228</v>
      </c>
      <c r="B22">
        <v>24998823</v>
      </c>
      <c r="C22">
        <v>325910</v>
      </c>
      <c r="D22" t="s">
        <v>44</v>
      </c>
      <c r="E22" t="s">
        <v>40</v>
      </c>
      <c r="F22" t="s">
        <v>392</v>
      </c>
      <c r="G22" t="s">
        <v>393</v>
      </c>
      <c r="H22" t="s">
        <v>394</v>
      </c>
      <c r="I22" t="s">
        <v>395</v>
      </c>
      <c r="J22" t="s">
        <v>396</v>
      </c>
      <c r="K22" t="s">
        <v>397</v>
      </c>
      <c r="L22" t="s">
        <v>398</v>
      </c>
      <c r="M22" t="s">
        <v>399</v>
      </c>
      <c r="N22" t="s">
        <v>400</v>
      </c>
      <c r="O22">
        <v>10696497</v>
      </c>
      <c r="P22">
        <v>26443758</v>
      </c>
      <c r="Q22" t="s">
        <v>401</v>
      </c>
      <c r="R22">
        <v>48777</v>
      </c>
      <c r="S22">
        <v>36208</v>
      </c>
      <c r="T22">
        <v>29569</v>
      </c>
      <c r="U22">
        <v>22235</v>
      </c>
      <c r="V22">
        <v>11273</v>
      </c>
    </row>
    <row r="23" spans="1:22" x14ac:dyDescent="0.35">
      <c r="A23" s="1">
        <v>44228</v>
      </c>
      <c r="B23">
        <v>24998823</v>
      </c>
      <c r="C23">
        <v>214569</v>
      </c>
      <c r="D23" t="s">
        <v>44</v>
      </c>
      <c r="E23" t="s">
        <v>41</v>
      </c>
      <c r="F23" t="s">
        <v>402</v>
      </c>
      <c r="G23" t="s">
        <v>403</v>
      </c>
      <c r="H23" t="s">
        <v>404</v>
      </c>
      <c r="I23" t="s">
        <v>405</v>
      </c>
      <c r="J23" t="s">
        <v>406</v>
      </c>
      <c r="K23" t="s">
        <v>407</v>
      </c>
      <c r="L23" t="s">
        <v>408</v>
      </c>
      <c r="M23" t="s">
        <v>409</v>
      </c>
      <c r="N23" t="s">
        <v>410</v>
      </c>
      <c r="O23">
        <v>9613399</v>
      </c>
      <c r="P23">
        <v>21824337</v>
      </c>
      <c r="Q23" t="s">
        <v>411</v>
      </c>
      <c r="R23">
        <v>23182</v>
      </c>
      <c r="S23">
        <v>17502</v>
      </c>
      <c r="T23">
        <v>14303</v>
      </c>
      <c r="U23">
        <v>11017</v>
      </c>
      <c r="V23">
        <v>5803</v>
      </c>
    </row>
    <row r="24" spans="1:22" x14ac:dyDescent="0.35">
      <c r="A24" s="1">
        <v>44228</v>
      </c>
      <c r="B24">
        <v>24998823</v>
      </c>
      <c r="C24">
        <v>58779</v>
      </c>
      <c r="D24" t="s">
        <v>44</v>
      </c>
      <c r="E24" t="s">
        <v>42</v>
      </c>
      <c r="F24" t="s">
        <v>412</v>
      </c>
      <c r="G24" t="s">
        <v>413</v>
      </c>
      <c r="H24" t="s">
        <v>414</v>
      </c>
      <c r="I24" t="s">
        <v>415</v>
      </c>
      <c r="J24" t="s">
        <v>416</v>
      </c>
      <c r="K24" t="s">
        <v>417</v>
      </c>
      <c r="L24" t="s">
        <v>418</v>
      </c>
      <c r="M24" t="s">
        <v>419</v>
      </c>
      <c r="N24" t="s">
        <v>420</v>
      </c>
      <c r="O24">
        <v>20759681</v>
      </c>
      <c r="P24">
        <v>18137472</v>
      </c>
      <c r="Q24" t="s">
        <v>421</v>
      </c>
      <c r="R24">
        <v>1130</v>
      </c>
      <c r="S24">
        <v>894</v>
      </c>
      <c r="T24">
        <v>753</v>
      </c>
      <c r="U24">
        <v>616</v>
      </c>
      <c r="V24">
        <v>385</v>
      </c>
    </row>
    <row r="25" spans="1:22" x14ac:dyDescent="0.35">
      <c r="A25" s="1">
        <v>44228</v>
      </c>
      <c r="B25">
        <v>24998823</v>
      </c>
      <c r="C25">
        <v>15567</v>
      </c>
      <c r="D25" t="s">
        <v>44</v>
      </c>
      <c r="E25" t="s">
        <v>43</v>
      </c>
      <c r="F25" t="s">
        <v>422</v>
      </c>
      <c r="G25" t="s">
        <v>423</v>
      </c>
      <c r="H25" t="s">
        <v>424</v>
      </c>
      <c r="I25" t="s">
        <v>425</v>
      </c>
      <c r="J25" t="s">
        <v>426</v>
      </c>
      <c r="K25" t="s">
        <v>427</v>
      </c>
      <c r="L25" t="s">
        <v>428</v>
      </c>
      <c r="M25" t="s">
        <v>429</v>
      </c>
      <c r="N25" t="s">
        <v>430</v>
      </c>
      <c r="O25">
        <v>27564</v>
      </c>
      <c r="P25">
        <v>84266</v>
      </c>
      <c r="Q25" t="s">
        <v>431</v>
      </c>
      <c r="R25">
        <v>6579</v>
      </c>
      <c r="S25">
        <v>5882</v>
      </c>
      <c r="T25">
        <v>4833</v>
      </c>
      <c r="U25">
        <v>3087</v>
      </c>
      <c r="V25">
        <v>2240</v>
      </c>
    </row>
    <row r="26" spans="1:22" x14ac:dyDescent="0.35">
      <c r="A26" s="1">
        <v>44228</v>
      </c>
      <c r="B26">
        <v>24998823</v>
      </c>
      <c r="C26">
        <v>1523993</v>
      </c>
      <c r="D26" t="s">
        <v>45</v>
      </c>
      <c r="E26" t="s">
        <v>32</v>
      </c>
      <c r="F26" t="s">
        <v>432</v>
      </c>
      <c r="G26" t="s">
        <v>433</v>
      </c>
      <c r="H26" t="s">
        <v>434</v>
      </c>
      <c r="I26" t="s">
        <v>435</v>
      </c>
      <c r="J26" t="s">
        <v>436</v>
      </c>
      <c r="K26" t="s">
        <v>437</v>
      </c>
      <c r="L26" t="s">
        <v>438</v>
      </c>
      <c r="M26" t="s">
        <v>439</v>
      </c>
      <c r="N26" t="s">
        <v>440</v>
      </c>
      <c r="O26">
        <v>2115765</v>
      </c>
      <c r="P26">
        <v>9625341</v>
      </c>
      <c r="Q26" t="s">
        <v>441</v>
      </c>
      <c r="R26">
        <v>1225831</v>
      </c>
      <c r="S26">
        <v>1101307</v>
      </c>
      <c r="T26">
        <v>927959</v>
      </c>
      <c r="U26">
        <v>440034</v>
      </c>
      <c r="V26">
        <v>215046</v>
      </c>
    </row>
    <row r="27" spans="1:22" x14ac:dyDescent="0.35">
      <c r="A27" s="1">
        <v>44228</v>
      </c>
      <c r="B27">
        <v>24998823</v>
      </c>
      <c r="C27">
        <v>611369</v>
      </c>
      <c r="D27" t="s">
        <v>45</v>
      </c>
      <c r="E27" t="s">
        <v>33</v>
      </c>
      <c r="F27" t="s">
        <v>442</v>
      </c>
      <c r="G27" t="s">
        <v>443</v>
      </c>
      <c r="H27" t="s">
        <v>444</v>
      </c>
      <c r="I27" t="s">
        <v>445</v>
      </c>
      <c r="J27" t="s">
        <v>446</v>
      </c>
      <c r="K27" t="s">
        <v>447</v>
      </c>
      <c r="L27" t="s">
        <v>448</v>
      </c>
      <c r="M27" t="s">
        <v>449</v>
      </c>
      <c r="N27" t="s">
        <v>450</v>
      </c>
      <c r="O27">
        <v>5983703</v>
      </c>
      <c r="P27">
        <v>10879614</v>
      </c>
      <c r="Q27" t="s">
        <v>451</v>
      </c>
      <c r="R27">
        <v>357679</v>
      </c>
      <c r="S27">
        <v>309366</v>
      </c>
      <c r="T27">
        <v>275390</v>
      </c>
      <c r="U27">
        <v>160597</v>
      </c>
      <c r="V27">
        <v>75590</v>
      </c>
    </row>
    <row r="28" spans="1:22" x14ac:dyDescent="0.35">
      <c r="A28" s="1">
        <v>44228</v>
      </c>
      <c r="B28">
        <v>24998823</v>
      </c>
      <c r="C28">
        <v>99269</v>
      </c>
      <c r="D28" t="s">
        <v>45</v>
      </c>
      <c r="E28" t="s">
        <v>34</v>
      </c>
      <c r="F28" t="s">
        <v>452</v>
      </c>
      <c r="G28" t="s">
        <v>453</v>
      </c>
      <c r="H28" t="s">
        <v>454</v>
      </c>
      <c r="I28" t="s">
        <v>455</v>
      </c>
      <c r="J28" t="s">
        <v>456</v>
      </c>
      <c r="K28" t="s">
        <v>457</v>
      </c>
      <c r="L28" t="s">
        <v>458</v>
      </c>
      <c r="M28" t="s">
        <v>459</v>
      </c>
      <c r="N28" t="s">
        <v>460</v>
      </c>
      <c r="O28">
        <v>7140781</v>
      </c>
      <c r="P28">
        <v>8909441</v>
      </c>
      <c r="Q28" t="s">
        <v>461</v>
      </c>
      <c r="R28">
        <v>19045</v>
      </c>
      <c r="S28">
        <v>16020</v>
      </c>
      <c r="T28">
        <v>14206</v>
      </c>
      <c r="U28">
        <v>11376</v>
      </c>
      <c r="V28">
        <v>6340</v>
      </c>
    </row>
    <row r="29" spans="1:22" x14ac:dyDescent="0.35">
      <c r="A29" s="1">
        <v>44228</v>
      </c>
      <c r="B29">
        <v>24998823</v>
      </c>
      <c r="C29">
        <v>66076</v>
      </c>
      <c r="D29" t="s">
        <v>45</v>
      </c>
      <c r="E29" t="s">
        <v>35</v>
      </c>
      <c r="F29" t="s">
        <v>462</v>
      </c>
      <c r="G29" t="s">
        <v>463</v>
      </c>
      <c r="H29" t="s">
        <v>464</v>
      </c>
      <c r="I29" t="s">
        <v>465</v>
      </c>
      <c r="J29" t="s">
        <v>466</v>
      </c>
      <c r="K29" t="s">
        <v>467</v>
      </c>
      <c r="L29" t="s">
        <v>468</v>
      </c>
      <c r="M29" t="s">
        <v>469</v>
      </c>
      <c r="N29" t="s">
        <v>470</v>
      </c>
      <c r="O29">
        <v>5922737</v>
      </c>
      <c r="P29">
        <v>6851199</v>
      </c>
      <c r="Q29" t="s">
        <v>471</v>
      </c>
      <c r="R29">
        <v>11242</v>
      </c>
      <c r="S29">
        <v>9505</v>
      </c>
      <c r="T29">
        <v>8371</v>
      </c>
      <c r="U29">
        <v>6738</v>
      </c>
      <c r="V29">
        <v>3790</v>
      </c>
    </row>
    <row r="30" spans="1:22" x14ac:dyDescent="0.35">
      <c r="A30" s="1">
        <v>44228</v>
      </c>
      <c r="B30">
        <v>24998823</v>
      </c>
      <c r="C30">
        <v>79528</v>
      </c>
      <c r="D30" t="s">
        <v>45</v>
      </c>
      <c r="E30" t="s">
        <v>36</v>
      </c>
      <c r="F30" t="s">
        <v>472</v>
      </c>
      <c r="G30" t="s">
        <v>473</v>
      </c>
      <c r="H30" t="s">
        <v>474</v>
      </c>
      <c r="I30" t="s">
        <v>475</v>
      </c>
      <c r="J30" t="s">
        <v>476</v>
      </c>
      <c r="K30" t="s">
        <v>477</v>
      </c>
      <c r="L30" t="s">
        <v>478</v>
      </c>
      <c r="M30" t="s">
        <v>479</v>
      </c>
      <c r="N30" t="s">
        <v>480</v>
      </c>
      <c r="O30">
        <v>9071419</v>
      </c>
      <c r="P30">
        <v>9603130</v>
      </c>
      <c r="Q30" t="s">
        <v>481</v>
      </c>
      <c r="R30">
        <v>11844</v>
      </c>
      <c r="S30">
        <v>9975</v>
      </c>
      <c r="T30">
        <v>8838</v>
      </c>
      <c r="U30">
        <v>7223</v>
      </c>
      <c r="V30">
        <v>4168</v>
      </c>
    </row>
    <row r="31" spans="1:22" x14ac:dyDescent="0.35">
      <c r="A31" s="1">
        <v>44228</v>
      </c>
      <c r="B31">
        <v>24998823</v>
      </c>
      <c r="C31">
        <v>69582</v>
      </c>
      <c r="D31" t="s">
        <v>45</v>
      </c>
      <c r="E31" t="s">
        <v>37</v>
      </c>
      <c r="F31" t="s">
        <v>482</v>
      </c>
      <c r="G31" t="s">
        <v>483</v>
      </c>
      <c r="H31" t="s">
        <v>484</v>
      </c>
      <c r="I31" t="s">
        <v>485</v>
      </c>
      <c r="J31" t="s">
        <v>486</v>
      </c>
      <c r="K31" t="s">
        <v>487</v>
      </c>
      <c r="L31" t="s">
        <v>488</v>
      </c>
      <c r="M31" t="s">
        <v>489</v>
      </c>
      <c r="N31" t="s">
        <v>490</v>
      </c>
      <c r="O31">
        <v>11124969</v>
      </c>
      <c r="P31">
        <v>10442450</v>
      </c>
      <c r="Q31" t="s">
        <v>491</v>
      </c>
      <c r="R31">
        <v>8322</v>
      </c>
      <c r="S31">
        <v>7063</v>
      </c>
      <c r="T31">
        <v>6244</v>
      </c>
      <c r="U31">
        <v>5132</v>
      </c>
      <c r="V31">
        <v>3047</v>
      </c>
    </row>
    <row r="32" spans="1:22" x14ac:dyDescent="0.35">
      <c r="A32" s="1">
        <v>44228</v>
      </c>
      <c r="B32">
        <v>24998823</v>
      </c>
      <c r="C32">
        <v>488583</v>
      </c>
      <c r="D32" t="s">
        <v>45</v>
      </c>
      <c r="E32" t="s">
        <v>38</v>
      </c>
      <c r="F32" t="s">
        <v>492</v>
      </c>
      <c r="G32" t="s">
        <v>493</v>
      </c>
      <c r="H32" t="s">
        <v>494</v>
      </c>
      <c r="I32" t="s">
        <v>495</v>
      </c>
      <c r="J32" t="s">
        <v>496</v>
      </c>
      <c r="K32" t="s">
        <v>497</v>
      </c>
      <c r="L32" t="s">
        <v>498</v>
      </c>
      <c r="M32" t="s">
        <v>499</v>
      </c>
      <c r="N32" t="s">
        <v>500</v>
      </c>
      <c r="O32">
        <v>10696039</v>
      </c>
      <c r="P32">
        <v>17616832</v>
      </c>
      <c r="Q32" t="s">
        <v>501</v>
      </c>
      <c r="R32">
        <v>194934</v>
      </c>
      <c r="S32">
        <v>163518</v>
      </c>
      <c r="T32">
        <v>144529</v>
      </c>
      <c r="U32">
        <v>101879</v>
      </c>
      <c r="V32">
        <v>49467</v>
      </c>
    </row>
    <row r="33" spans="1:22" x14ac:dyDescent="0.35">
      <c r="A33" s="1">
        <v>44228</v>
      </c>
      <c r="B33">
        <v>24998823</v>
      </c>
      <c r="C33">
        <v>41986</v>
      </c>
      <c r="D33" t="s">
        <v>45</v>
      </c>
      <c r="E33" t="s">
        <v>39</v>
      </c>
      <c r="F33" t="s">
        <v>502</v>
      </c>
      <c r="G33" t="s">
        <v>503</v>
      </c>
      <c r="H33" t="s">
        <v>504</v>
      </c>
      <c r="I33" t="s">
        <v>505</v>
      </c>
      <c r="J33" t="s">
        <v>506</v>
      </c>
      <c r="K33" t="s">
        <v>507</v>
      </c>
      <c r="L33" t="s">
        <v>508</v>
      </c>
      <c r="M33" t="s">
        <v>509</v>
      </c>
      <c r="N33" t="s">
        <v>510</v>
      </c>
      <c r="O33">
        <v>9878584</v>
      </c>
      <c r="P33">
        <v>8253473</v>
      </c>
      <c r="Q33" t="s">
        <v>511</v>
      </c>
      <c r="R33">
        <v>3751</v>
      </c>
      <c r="S33">
        <v>3219</v>
      </c>
      <c r="T33">
        <v>2842</v>
      </c>
      <c r="U33">
        <v>2398</v>
      </c>
      <c r="V33">
        <v>1477</v>
      </c>
    </row>
    <row r="34" spans="1:22" x14ac:dyDescent="0.35">
      <c r="A34" s="1">
        <v>44228</v>
      </c>
      <c r="B34">
        <v>24998823</v>
      </c>
      <c r="C34">
        <v>262268</v>
      </c>
      <c r="D34" t="s">
        <v>45</v>
      </c>
      <c r="E34" t="s">
        <v>40</v>
      </c>
      <c r="F34" t="s">
        <v>512</v>
      </c>
      <c r="G34" t="s">
        <v>513</v>
      </c>
      <c r="H34" t="s">
        <v>514</v>
      </c>
      <c r="I34" t="s">
        <v>515</v>
      </c>
      <c r="J34" t="s">
        <v>516</v>
      </c>
      <c r="K34" t="s">
        <v>517</v>
      </c>
      <c r="L34" t="s">
        <v>518</v>
      </c>
      <c r="M34" t="s">
        <v>519</v>
      </c>
      <c r="N34" t="s">
        <v>520</v>
      </c>
      <c r="O34">
        <v>9665654</v>
      </c>
      <c r="P34">
        <v>14774765</v>
      </c>
      <c r="Q34" t="s">
        <v>521</v>
      </c>
      <c r="R34">
        <v>75432</v>
      </c>
      <c r="S34">
        <v>63074</v>
      </c>
      <c r="T34">
        <v>55669</v>
      </c>
      <c r="U34">
        <v>42292</v>
      </c>
      <c r="V34">
        <v>21577</v>
      </c>
    </row>
    <row r="35" spans="1:22" x14ac:dyDescent="0.35">
      <c r="A35" s="1">
        <v>44228</v>
      </c>
      <c r="B35">
        <v>24998823</v>
      </c>
      <c r="C35">
        <v>155880</v>
      </c>
      <c r="D35" t="s">
        <v>45</v>
      </c>
      <c r="E35" t="s">
        <v>41</v>
      </c>
      <c r="F35" t="s">
        <v>522</v>
      </c>
      <c r="G35" t="s">
        <v>523</v>
      </c>
      <c r="H35" t="s">
        <v>524</v>
      </c>
      <c r="I35" t="s">
        <v>525</v>
      </c>
      <c r="J35" t="s">
        <v>526</v>
      </c>
      <c r="K35" t="s">
        <v>527</v>
      </c>
      <c r="L35" t="s">
        <v>528</v>
      </c>
      <c r="M35" t="s">
        <v>529</v>
      </c>
      <c r="N35" t="s">
        <v>530</v>
      </c>
      <c r="O35">
        <v>8456721</v>
      </c>
      <c r="P35">
        <v>11514168</v>
      </c>
      <c r="Q35" t="s">
        <v>531</v>
      </c>
      <c r="R35">
        <v>35961</v>
      </c>
      <c r="S35">
        <v>30059</v>
      </c>
      <c r="T35">
        <v>26639</v>
      </c>
      <c r="U35">
        <v>20891</v>
      </c>
      <c r="V35">
        <v>11170</v>
      </c>
    </row>
    <row r="36" spans="1:22" x14ac:dyDescent="0.35">
      <c r="A36" s="1">
        <v>44228</v>
      </c>
      <c r="B36">
        <v>24998823</v>
      </c>
      <c r="C36">
        <v>21234</v>
      </c>
      <c r="D36" t="s">
        <v>45</v>
      </c>
      <c r="E36" t="s">
        <v>42</v>
      </c>
      <c r="F36" t="s">
        <v>532</v>
      </c>
      <c r="G36" t="s">
        <v>533</v>
      </c>
      <c r="H36" t="s">
        <v>534</v>
      </c>
      <c r="I36" t="s">
        <v>535</v>
      </c>
      <c r="J36" t="s">
        <v>536</v>
      </c>
      <c r="K36" t="s">
        <v>537</v>
      </c>
      <c r="L36" t="s">
        <v>538</v>
      </c>
      <c r="M36" t="s">
        <v>539</v>
      </c>
      <c r="N36" t="s">
        <v>540</v>
      </c>
      <c r="O36">
        <v>8020566</v>
      </c>
      <c r="P36">
        <v>6484613</v>
      </c>
      <c r="Q36" t="s">
        <v>541</v>
      </c>
      <c r="R36">
        <v>1364</v>
      </c>
      <c r="S36">
        <v>1183</v>
      </c>
      <c r="T36">
        <v>1034</v>
      </c>
      <c r="U36">
        <v>880</v>
      </c>
      <c r="V36">
        <v>582</v>
      </c>
    </row>
    <row r="37" spans="1:22" x14ac:dyDescent="0.35">
      <c r="A37" s="1">
        <v>44228</v>
      </c>
      <c r="B37">
        <v>24998823</v>
      </c>
      <c r="C37">
        <v>27302</v>
      </c>
      <c r="D37" t="s">
        <v>45</v>
      </c>
      <c r="E37" t="s">
        <v>43</v>
      </c>
      <c r="F37" t="s">
        <v>542</v>
      </c>
      <c r="G37" t="s">
        <v>543</v>
      </c>
      <c r="H37" t="s">
        <v>544</v>
      </c>
      <c r="I37" t="s">
        <v>545</v>
      </c>
      <c r="J37" t="s">
        <v>546</v>
      </c>
      <c r="K37" t="s">
        <v>547</v>
      </c>
      <c r="L37" t="s">
        <v>548</v>
      </c>
      <c r="M37" t="s">
        <v>549</v>
      </c>
      <c r="N37" t="s">
        <v>550</v>
      </c>
      <c r="O37">
        <v>300279</v>
      </c>
      <c r="P37">
        <v>1129577</v>
      </c>
      <c r="Q37" t="s">
        <v>551</v>
      </c>
      <c r="R37">
        <v>13097</v>
      </c>
      <c r="S37">
        <v>11602</v>
      </c>
      <c r="T37">
        <v>9210</v>
      </c>
      <c r="U37">
        <v>4930</v>
      </c>
      <c r="V37">
        <v>3183</v>
      </c>
    </row>
    <row r="38" spans="1:22" x14ac:dyDescent="0.35">
      <c r="A38" s="1">
        <v>44228</v>
      </c>
      <c r="B38">
        <v>24998823</v>
      </c>
      <c r="C38">
        <v>895156</v>
      </c>
      <c r="D38" t="s">
        <v>46</v>
      </c>
      <c r="E38" t="s">
        <v>32</v>
      </c>
      <c r="F38" t="s">
        <v>552</v>
      </c>
      <c r="G38" t="s">
        <v>553</v>
      </c>
      <c r="H38" t="s">
        <v>554</v>
      </c>
      <c r="I38" t="s">
        <v>555</v>
      </c>
      <c r="J38" t="s">
        <v>556</v>
      </c>
      <c r="K38" t="s">
        <v>557</v>
      </c>
      <c r="L38" t="s">
        <v>558</v>
      </c>
      <c r="M38" t="s">
        <v>559</v>
      </c>
      <c r="N38" t="s">
        <v>560</v>
      </c>
      <c r="O38">
        <v>1402224</v>
      </c>
      <c r="P38">
        <v>6630390</v>
      </c>
      <c r="Q38" t="s">
        <v>561</v>
      </c>
      <c r="R38">
        <v>667567</v>
      </c>
      <c r="S38">
        <v>581087</v>
      </c>
      <c r="T38">
        <v>495588</v>
      </c>
      <c r="U38">
        <v>266104</v>
      </c>
      <c r="V38">
        <v>135182</v>
      </c>
    </row>
    <row r="39" spans="1:22" x14ac:dyDescent="0.35">
      <c r="A39" s="1">
        <v>44228</v>
      </c>
      <c r="B39">
        <v>24998823</v>
      </c>
      <c r="C39">
        <v>396348</v>
      </c>
      <c r="D39" t="s">
        <v>46</v>
      </c>
      <c r="E39" t="s">
        <v>33</v>
      </c>
      <c r="F39" t="s">
        <v>562</v>
      </c>
      <c r="G39" t="s">
        <v>563</v>
      </c>
      <c r="H39" t="s">
        <v>564</v>
      </c>
      <c r="I39" t="s">
        <v>565</v>
      </c>
      <c r="J39" t="s">
        <v>566</v>
      </c>
      <c r="K39" t="s">
        <v>567</v>
      </c>
      <c r="L39" t="s">
        <v>568</v>
      </c>
      <c r="M39" t="s">
        <v>569</v>
      </c>
      <c r="N39" t="s">
        <v>570</v>
      </c>
      <c r="O39">
        <v>4250888</v>
      </c>
      <c r="P39">
        <v>9346266</v>
      </c>
      <c r="Q39" t="s">
        <v>571</v>
      </c>
      <c r="R39">
        <v>199702</v>
      </c>
      <c r="S39">
        <v>163822</v>
      </c>
      <c r="T39">
        <v>140534</v>
      </c>
      <c r="U39">
        <v>91151</v>
      </c>
      <c r="V39">
        <v>44636</v>
      </c>
    </row>
    <row r="40" spans="1:22" x14ac:dyDescent="0.35">
      <c r="A40" s="1">
        <v>44228</v>
      </c>
      <c r="B40">
        <v>24998823</v>
      </c>
      <c r="C40">
        <v>71957</v>
      </c>
      <c r="D40" t="s">
        <v>46</v>
      </c>
      <c r="E40" t="s">
        <v>34</v>
      </c>
      <c r="F40" t="s">
        <v>572</v>
      </c>
      <c r="G40" t="s">
        <v>573</v>
      </c>
      <c r="H40" t="s">
        <v>574</v>
      </c>
      <c r="I40" t="s">
        <v>575</v>
      </c>
      <c r="J40" t="s">
        <v>576</v>
      </c>
      <c r="K40" t="s">
        <v>577</v>
      </c>
      <c r="L40" t="s">
        <v>578</v>
      </c>
      <c r="M40" t="s">
        <v>579</v>
      </c>
      <c r="N40" t="s">
        <v>580</v>
      </c>
      <c r="O40">
        <v>5503872</v>
      </c>
      <c r="P40">
        <v>7188781</v>
      </c>
      <c r="Q40" t="s">
        <v>581</v>
      </c>
      <c r="R40">
        <v>9929</v>
      </c>
      <c r="S40">
        <v>7933</v>
      </c>
      <c r="T40">
        <v>6820</v>
      </c>
      <c r="U40">
        <v>5604</v>
      </c>
      <c r="V40">
        <v>3183</v>
      </c>
    </row>
    <row r="41" spans="1:22" x14ac:dyDescent="0.35">
      <c r="A41" s="1">
        <v>44228</v>
      </c>
      <c r="B41">
        <v>24998823</v>
      </c>
      <c r="C41">
        <v>49187</v>
      </c>
      <c r="D41" t="s">
        <v>46</v>
      </c>
      <c r="E41" t="s">
        <v>35</v>
      </c>
      <c r="F41" t="s">
        <v>582</v>
      </c>
      <c r="G41" t="s">
        <v>583</v>
      </c>
      <c r="H41" t="s">
        <v>584</v>
      </c>
      <c r="I41" t="s">
        <v>585</v>
      </c>
      <c r="J41" t="s">
        <v>586</v>
      </c>
      <c r="K41" t="s">
        <v>587</v>
      </c>
      <c r="L41" t="s">
        <v>588</v>
      </c>
      <c r="M41" t="s">
        <v>589</v>
      </c>
      <c r="N41" t="s">
        <v>590</v>
      </c>
      <c r="O41">
        <v>4727492</v>
      </c>
      <c r="P41">
        <v>5538124</v>
      </c>
      <c r="Q41" t="s">
        <v>591</v>
      </c>
      <c r="R41">
        <v>5912</v>
      </c>
      <c r="S41">
        <v>4795</v>
      </c>
      <c r="T41">
        <v>4120</v>
      </c>
      <c r="U41">
        <v>3363</v>
      </c>
      <c r="V41">
        <v>1937</v>
      </c>
    </row>
    <row r="42" spans="1:22" x14ac:dyDescent="0.35">
      <c r="A42" s="1">
        <v>44228</v>
      </c>
      <c r="B42">
        <v>24998823</v>
      </c>
      <c r="C42">
        <v>58628</v>
      </c>
      <c r="D42" t="s">
        <v>46</v>
      </c>
      <c r="E42" t="s">
        <v>36</v>
      </c>
      <c r="F42" t="s">
        <v>592</v>
      </c>
      <c r="G42" t="s">
        <v>593</v>
      </c>
      <c r="H42" t="s">
        <v>594</v>
      </c>
      <c r="I42" t="s">
        <v>595</v>
      </c>
      <c r="J42" t="s">
        <v>596</v>
      </c>
      <c r="K42" t="s">
        <v>597</v>
      </c>
      <c r="L42" t="s">
        <v>598</v>
      </c>
      <c r="M42" t="s">
        <v>599</v>
      </c>
      <c r="N42" t="s">
        <v>600</v>
      </c>
      <c r="O42">
        <v>7150543</v>
      </c>
      <c r="P42">
        <v>7565776</v>
      </c>
      <c r="Q42" t="s">
        <v>601</v>
      </c>
      <c r="R42">
        <v>6103</v>
      </c>
      <c r="S42">
        <v>4960</v>
      </c>
      <c r="T42">
        <v>4299</v>
      </c>
      <c r="U42">
        <v>3553</v>
      </c>
      <c r="V42">
        <v>2084</v>
      </c>
    </row>
    <row r="43" spans="1:22" x14ac:dyDescent="0.35">
      <c r="A43" s="1">
        <v>44228</v>
      </c>
      <c r="B43">
        <v>24998823</v>
      </c>
      <c r="C43">
        <v>51995</v>
      </c>
      <c r="D43" t="s">
        <v>46</v>
      </c>
      <c r="E43" t="s">
        <v>37</v>
      </c>
      <c r="F43" t="s">
        <v>602</v>
      </c>
      <c r="G43" t="s">
        <v>603</v>
      </c>
      <c r="H43" t="s">
        <v>604</v>
      </c>
      <c r="I43" t="s">
        <v>605</v>
      </c>
      <c r="J43" t="s">
        <v>606</v>
      </c>
      <c r="K43" t="s">
        <v>607</v>
      </c>
      <c r="L43" t="s">
        <v>608</v>
      </c>
      <c r="M43" t="s">
        <v>609</v>
      </c>
      <c r="N43" t="s">
        <v>610</v>
      </c>
      <c r="O43">
        <v>8874160</v>
      </c>
      <c r="P43">
        <v>8212304</v>
      </c>
      <c r="Q43" t="s">
        <v>611</v>
      </c>
      <c r="R43">
        <v>4144</v>
      </c>
      <c r="S43">
        <v>3403</v>
      </c>
      <c r="T43">
        <v>2950</v>
      </c>
      <c r="U43">
        <v>2475</v>
      </c>
      <c r="V43">
        <v>1495</v>
      </c>
    </row>
    <row r="44" spans="1:22" x14ac:dyDescent="0.35">
      <c r="A44" s="1">
        <v>44228</v>
      </c>
      <c r="B44">
        <v>24998823</v>
      </c>
      <c r="C44">
        <v>347892</v>
      </c>
      <c r="D44" t="s">
        <v>46</v>
      </c>
      <c r="E44" t="s">
        <v>38</v>
      </c>
      <c r="F44" t="s">
        <v>612</v>
      </c>
      <c r="G44" t="s">
        <v>613</v>
      </c>
      <c r="H44" t="s">
        <v>614</v>
      </c>
      <c r="I44" t="s">
        <v>615</v>
      </c>
      <c r="J44" t="s">
        <v>616</v>
      </c>
      <c r="K44" t="s">
        <v>617</v>
      </c>
      <c r="L44" t="s">
        <v>618</v>
      </c>
      <c r="M44" t="s">
        <v>619</v>
      </c>
      <c r="N44" t="s">
        <v>620</v>
      </c>
      <c r="O44">
        <v>7903003</v>
      </c>
      <c r="P44">
        <v>14973254</v>
      </c>
      <c r="Q44" t="s">
        <v>621</v>
      </c>
      <c r="R44">
        <v>115172</v>
      </c>
      <c r="S44">
        <v>92346</v>
      </c>
      <c r="T44">
        <v>78898</v>
      </c>
      <c r="U44">
        <v>58131</v>
      </c>
      <c r="V44">
        <v>28987</v>
      </c>
    </row>
    <row r="45" spans="1:22" x14ac:dyDescent="0.35">
      <c r="A45" s="1">
        <v>44228</v>
      </c>
      <c r="B45">
        <v>24998823</v>
      </c>
      <c r="C45">
        <v>32060</v>
      </c>
      <c r="D45" t="s">
        <v>46</v>
      </c>
      <c r="E45" t="s">
        <v>39</v>
      </c>
      <c r="F45" t="s">
        <v>622</v>
      </c>
      <c r="G45" t="s">
        <v>623</v>
      </c>
      <c r="H45" t="s">
        <v>624</v>
      </c>
      <c r="I45" t="s">
        <v>625</v>
      </c>
      <c r="J45" t="s">
        <v>626</v>
      </c>
      <c r="K45" t="s">
        <v>627</v>
      </c>
      <c r="L45" t="s">
        <v>628</v>
      </c>
      <c r="M45" t="s">
        <v>629</v>
      </c>
      <c r="N45" t="s">
        <v>630</v>
      </c>
      <c r="O45">
        <v>7588177</v>
      </c>
      <c r="P45">
        <v>6279373</v>
      </c>
      <c r="Q45" t="s">
        <v>631</v>
      </c>
      <c r="R45">
        <v>1908</v>
      </c>
      <c r="S45">
        <v>1594</v>
      </c>
      <c r="T45">
        <v>1389</v>
      </c>
      <c r="U45">
        <v>1163</v>
      </c>
      <c r="V45">
        <v>719</v>
      </c>
    </row>
    <row r="46" spans="1:22" x14ac:dyDescent="0.35">
      <c r="A46" s="1">
        <v>44228</v>
      </c>
      <c r="B46">
        <v>24998823</v>
      </c>
      <c r="C46">
        <v>191649</v>
      </c>
      <c r="D46" t="s">
        <v>46</v>
      </c>
      <c r="E46" t="s">
        <v>40</v>
      </c>
      <c r="F46" t="s">
        <v>632</v>
      </c>
      <c r="G46" t="s">
        <v>633</v>
      </c>
      <c r="H46" t="s">
        <v>634</v>
      </c>
      <c r="I46" t="s">
        <v>635</v>
      </c>
      <c r="J46" t="s">
        <v>636</v>
      </c>
      <c r="K46" t="s">
        <v>637</v>
      </c>
      <c r="L46" t="s">
        <v>638</v>
      </c>
      <c r="M46" t="s">
        <v>639</v>
      </c>
      <c r="N46" t="s">
        <v>640</v>
      </c>
      <c r="O46">
        <v>7440769</v>
      </c>
      <c r="P46">
        <v>12440023</v>
      </c>
      <c r="Q46" t="s">
        <v>641</v>
      </c>
      <c r="R46">
        <v>42908</v>
      </c>
      <c r="S46">
        <v>34187</v>
      </c>
      <c r="T46">
        <v>29381</v>
      </c>
      <c r="U46">
        <v>23052</v>
      </c>
      <c r="V46">
        <v>12117</v>
      </c>
    </row>
    <row r="47" spans="1:22" x14ac:dyDescent="0.35">
      <c r="A47" s="1">
        <v>44228</v>
      </c>
      <c r="B47">
        <v>24998823</v>
      </c>
      <c r="C47">
        <v>114292</v>
      </c>
      <c r="D47" t="s">
        <v>46</v>
      </c>
      <c r="E47" t="s">
        <v>41</v>
      </c>
      <c r="F47" t="s">
        <v>642</v>
      </c>
      <c r="G47" t="s">
        <v>643</v>
      </c>
      <c r="H47" t="s">
        <v>644</v>
      </c>
      <c r="I47" t="s">
        <v>645</v>
      </c>
      <c r="J47" t="s">
        <v>646</v>
      </c>
      <c r="K47" t="s">
        <v>647</v>
      </c>
      <c r="L47" t="s">
        <v>648</v>
      </c>
      <c r="M47" t="s">
        <v>649</v>
      </c>
      <c r="N47" t="s">
        <v>650</v>
      </c>
      <c r="O47">
        <v>6539339</v>
      </c>
      <c r="P47">
        <v>9474097</v>
      </c>
      <c r="Q47" t="s">
        <v>651</v>
      </c>
      <c r="R47">
        <v>19651</v>
      </c>
      <c r="S47">
        <v>15764</v>
      </c>
      <c r="T47">
        <v>13535</v>
      </c>
      <c r="U47">
        <v>10897</v>
      </c>
      <c r="V47">
        <v>6008</v>
      </c>
    </row>
    <row r="48" spans="1:22" x14ac:dyDescent="0.35">
      <c r="A48" s="1">
        <v>44228</v>
      </c>
      <c r="B48">
        <v>24998823</v>
      </c>
      <c r="C48">
        <v>17125</v>
      </c>
      <c r="D48" t="s">
        <v>46</v>
      </c>
      <c r="E48" t="s">
        <v>42</v>
      </c>
      <c r="F48" t="s">
        <v>652</v>
      </c>
      <c r="G48" t="s">
        <v>653</v>
      </c>
      <c r="H48" t="s">
        <v>654</v>
      </c>
      <c r="I48" t="s">
        <v>655</v>
      </c>
      <c r="J48" t="s">
        <v>656</v>
      </c>
      <c r="K48" t="s">
        <v>657</v>
      </c>
      <c r="L48" t="s">
        <v>658</v>
      </c>
      <c r="M48" t="s">
        <v>659</v>
      </c>
      <c r="N48" t="s">
        <v>660</v>
      </c>
      <c r="O48">
        <v>6496902</v>
      </c>
      <c r="P48">
        <v>4824117</v>
      </c>
      <c r="Q48" t="s">
        <v>661</v>
      </c>
      <c r="R48">
        <v>668</v>
      </c>
      <c r="S48">
        <v>544</v>
      </c>
      <c r="T48">
        <v>453</v>
      </c>
      <c r="U48">
        <v>391</v>
      </c>
      <c r="V48">
        <v>267</v>
      </c>
    </row>
    <row r="49" spans="1:22" x14ac:dyDescent="0.35">
      <c r="A49" s="1">
        <v>44228</v>
      </c>
      <c r="B49">
        <v>24998823</v>
      </c>
      <c r="C49">
        <v>21592</v>
      </c>
      <c r="D49" t="s">
        <v>46</v>
      </c>
      <c r="E49" t="s">
        <v>43</v>
      </c>
      <c r="F49" t="s">
        <v>662</v>
      </c>
      <c r="G49" t="s">
        <v>663</v>
      </c>
      <c r="H49" t="s">
        <v>664</v>
      </c>
      <c r="I49" t="s">
        <v>665</v>
      </c>
      <c r="J49" t="s">
        <v>666</v>
      </c>
      <c r="K49" t="s">
        <v>667</v>
      </c>
      <c r="L49" t="s">
        <v>668</v>
      </c>
      <c r="M49" t="s">
        <v>669</v>
      </c>
      <c r="N49" t="s">
        <v>670</v>
      </c>
      <c r="O49">
        <v>1111825</v>
      </c>
      <c r="P49">
        <v>180195</v>
      </c>
      <c r="Q49" t="s">
        <v>671</v>
      </c>
      <c r="R49">
        <v>7393</v>
      </c>
      <c r="S49">
        <v>6484</v>
      </c>
      <c r="T49">
        <v>5594</v>
      </c>
      <c r="U49">
        <v>3626</v>
      </c>
      <c r="V49">
        <v>2632</v>
      </c>
    </row>
    <row r="50" spans="1:22" x14ac:dyDescent="0.35">
      <c r="A50" s="1">
        <v>44228</v>
      </c>
      <c r="B50">
        <v>24998823</v>
      </c>
      <c r="C50">
        <v>436474</v>
      </c>
      <c r="D50" t="s">
        <v>47</v>
      </c>
      <c r="E50" t="s">
        <v>32</v>
      </c>
      <c r="F50" t="s">
        <v>672</v>
      </c>
      <c r="G50" t="s">
        <v>673</v>
      </c>
      <c r="H50" t="s">
        <v>674</v>
      </c>
      <c r="I50" t="s">
        <v>675</v>
      </c>
      <c r="J50" t="s">
        <v>676</v>
      </c>
      <c r="K50" t="s">
        <v>677</v>
      </c>
      <c r="L50" t="s">
        <v>678</v>
      </c>
      <c r="M50" t="s">
        <v>679</v>
      </c>
      <c r="N50" t="s">
        <v>680</v>
      </c>
      <c r="O50">
        <v>780266</v>
      </c>
      <c r="P50">
        <v>4094980</v>
      </c>
      <c r="Q50" t="s">
        <v>681</v>
      </c>
      <c r="R50">
        <v>317951</v>
      </c>
      <c r="S50">
        <v>275450</v>
      </c>
      <c r="T50">
        <v>234203</v>
      </c>
      <c r="U50">
        <v>126763</v>
      </c>
      <c r="V50">
        <v>65238</v>
      </c>
    </row>
    <row r="51" spans="1:22" x14ac:dyDescent="0.35">
      <c r="A51" s="1">
        <v>44228</v>
      </c>
      <c r="B51">
        <v>24998823</v>
      </c>
      <c r="C51">
        <v>211440</v>
      </c>
      <c r="D51" t="s">
        <v>47</v>
      </c>
      <c r="E51" t="s">
        <v>33</v>
      </c>
      <c r="F51" t="s">
        <v>682</v>
      </c>
      <c r="G51" t="s">
        <v>683</v>
      </c>
      <c r="H51" t="s">
        <v>684</v>
      </c>
      <c r="I51" t="s">
        <v>685</v>
      </c>
      <c r="J51" t="s">
        <v>686</v>
      </c>
      <c r="K51" t="s">
        <v>687</v>
      </c>
      <c r="L51" t="s">
        <v>688</v>
      </c>
      <c r="M51" t="s">
        <v>689</v>
      </c>
      <c r="N51" t="s">
        <v>690</v>
      </c>
      <c r="O51">
        <v>2422867</v>
      </c>
      <c r="P51">
        <v>5768308</v>
      </c>
      <c r="Q51" t="s">
        <v>691</v>
      </c>
      <c r="R51">
        <v>99263</v>
      </c>
      <c r="S51">
        <v>80644</v>
      </c>
      <c r="T51">
        <v>68496</v>
      </c>
      <c r="U51">
        <v>44328</v>
      </c>
      <c r="V51">
        <v>21114</v>
      </c>
    </row>
    <row r="52" spans="1:22" x14ac:dyDescent="0.35">
      <c r="A52" s="1">
        <v>44228</v>
      </c>
      <c r="B52">
        <v>24998823</v>
      </c>
      <c r="C52">
        <v>48523</v>
      </c>
      <c r="D52" t="s">
        <v>47</v>
      </c>
      <c r="E52" t="s">
        <v>34</v>
      </c>
      <c r="F52" t="s">
        <v>692</v>
      </c>
      <c r="G52" t="s">
        <v>693</v>
      </c>
      <c r="H52" t="s">
        <v>694</v>
      </c>
      <c r="I52" t="s">
        <v>695</v>
      </c>
      <c r="J52" t="s">
        <v>696</v>
      </c>
      <c r="K52" t="s">
        <v>697</v>
      </c>
      <c r="L52" t="s">
        <v>698</v>
      </c>
      <c r="M52" t="s">
        <v>699</v>
      </c>
      <c r="N52" t="s">
        <v>700</v>
      </c>
      <c r="O52">
        <v>3503831</v>
      </c>
      <c r="P52">
        <v>5292035</v>
      </c>
      <c r="Q52" t="s">
        <v>701</v>
      </c>
      <c r="R52">
        <v>5614</v>
      </c>
      <c r="S52">
        <v>4497</v>
      </c>
      <c r="T52">
        <v>3797</v>
      </c>
      <c r="U52">
        <v>3052</v>
      </c>
      <c r="V52">
        <v>1631</v>
      </c>
    </row>
    <row r="53" spans="1:22" x14ac:dyDescent="0.35">
      <c r="A53" s="1">
        <v>44228</v>
      </c>
      <c r="B53">
        <v>24998823</v>
      </c>
      <c r="C53">
        <v>33061</v>
      </c>
      <c r="D53" t="s">
        <v>47</v>
      </c>
      <c r="E53" t="s">
        <v>35</v>
      </c>
      <c r="F53" t="s">
        <v>702</v>
      </c>
      <c r="G53" t="s">
        <v>703</v>
      </c>
      <c r="H53" t="s">
        <v>704</v>
      </c>
      <c r="I53" t="s">
        <v>705</v>
      </c>
      <c r="J53" t="s">
        <v>706</v>
      </c>
      <c r="K53" t="s">
        <v>707</v>
      </c>
      <c r="L53" t="s">
        <v>708</v>
      </c>
      <c r="M53" t="s">
        <v>709</v>
      </c>
      <c r="N53" t="s">
        <v>710</v>
      </c>
      <c r="O53">
        <v>2937082</v>
      </c>
      <c r="P53">
        <v>4042817</v>
      </c>
      <c r="Q53" t="s">
        <v>711</v>
      </c>
      <c r="R53">
        <v>3297</v>
      </c>
      <c r="S53">
        <v>2615</v>
      </c>
      <c r="T53">
        <v>2250</v>
      </c>
      <c r="U53">
        <v>1839</v>
      </c>
      <c r="V53">
        <v>1042</v>
      </c>
    </row>
    <row r="54" spans="1:22" x14ac:dyDescent="0.35">
      <c r="A54" s="1">
        <v>44228</v>
      </c>
      <c r="B54">
        <v>24998823</v>
      </c>
      <c r="C54">
        <v>40414</v>
      </c>
      <c r="D54" t="s">
        <v>47</v>
      </c>
      <c r="E54" t="s">
        <v>36</v>
      </c>
      <c r="F54" t="s">
        <v>712</v>
      </c>
      <c r="G54" t="s">
        <v>713</v>
      </c>
      <c r="H54" t="s">
        <v>714</v>
      </c>
      <c r="I54" t="s">
        <v>715</v>
      </c>
      <c r="J54" t="s">
        <v>716</v>
      </c>
      <c r="K54" t="s">
        <v>717</v>
      </c>
      <c r="L54" t="s">
        <v>718</v>
      </c>
      <c r="M54" t="s">
        <v>719</v>
      </c>
      <c r="N54" t="s">
        <v>720</v>
      </c>
      <c r="O54">
        <v>4618406</v>
      </c>
      <c r="P54">
        <v>5619055</v>
      </c>
      <c r="Q54" t="s">
        <v>721</v>
      </c>
      <c r="R54">
        <v>3415</v>
      </c>
      <c r="S54">
        <v>2756</v>
      </c>
      <c r="T54">
        <v>2339</v>
      </c>
      <c r="U54">
        <v>1893</v>
      </c>
      <c r="V54">
        <v>1061</v>
      </c>
    </row>
    <row r="55" spans="1:22" x14ac:dyDescent="0.35">
      <c r="A55" s="1">
        <v>44228</v>
      </c>
      <c r="B55">
        <v>24998823</v>
      </c>
      <c r="C55">
        <v>36788</v>
      </c>
      <c r="D55" t="s">
        <v>47</v>
      </c>
      <c r="E55" t="s">
        <v>37</v>
      </c>
      <c r="F55" t="s">
        <v>722</v>
      </c>
      <c r="G55" t="s">
        <v>723</v>
      </c>
      <c r="H55" t="s">
        <v>724</v>
      </c>
      <c r="I55" t="s">
        <v>725</v>
      </c>
      <c r="J55" t="s">
        <v>726</v>
      </c>
      <c r="K55" t="s">
        <v>727</v>
      </c>
      <c r="L55" t="s">
        <v>728</v>
      </c>
      <c r="M55" t="s">
        <v>729</v>
      </c>
      <c r="N55" t="s">
        <v>730</v>
      </c>
      <c r="O55">
        <v>5826121</v>
      </c>
      <c r="P55">
        <v>6172184</v>
      </c>
      <c r="Q55" t="s">
        <v>731</v>
      </c>
      <c r="R55">
        <v>2481</v>
      </c>
      <c r="S55">
        <v>2047</v>
      </c>
      <c r="T55">
        <v>1757</v>
      </c>
      <c r="U55">
        <v>1476</v>
      </c>
      <c r="V55">
        <v>864</v>
      </c>
    </row>
    <row r="56" spans="1:22" x14ac:dyDescent="0.35">
      <c r="A56" s="1">
        <v>44228</v>
      </c>
      <c r="B56">
        <v>24998823</v>
      </c>
      <c r="C56">
        <v>207440</v>
      </c>
      <c r="D56" t="s">
        <v>47</v>
      </c>
      <c r="E56" t="s">
        <v>38</v>
      </c>
      <c r="F56" t="s">
        <v>732</v>
      </c>
      <c r="G56" t="s">
        <v>733</v>
      </c>
      <c r="H56" t="s">
        <v>734</v>
      </c>
      <c r="I56" t="s">
        <v>735</v>
      </c>
      <c r="J56" t="s">
        <v>736</v>
      </c>
      <c r="K56" t="s">
        <v>737</v>
      </c>
      <c r="L56" t="s">
        <v>738</v>
      </c>
      <c r="M56" t="s">
        <v>739</v>
      </c>
      <c r="N56" t="s">
        <v>740</v>
      </c>
      <c r="O56">
        <v>4809053</v>
      </c>
      <c r="P56">
        <v>9948342</v>
      </c>
      <c r="Q56" t="s">
        <v>741</v>
      </c>
      <c r="R56">
        <v>61270</v>
      </c>
      <c r="S56">
        <v>48405</v>
      </c>
      <c r="T56">
        <v>41040</v>
      </c>
      <c r="U56">
        <v>30065</v>
      </c>
      <c r="V56">
        <v>14377</v>
      </c>
    </row>
    <row r="57" spans="1:22" x14ac:dyDescent="0.35">
      <c r="A57" s="1">
        <v>44228</v>
      </c>
      <c r="B57">
        <v>24998823</v>
      </c>
      <c r="C57">
        <v>23808</v>
      </c>
      <c r="D57" t="s">
        <v>47</v>
      </c>
      <c r="E57" t="s">
        <v>39</v>
      </c>
      <c r="F57" t="s">
        <v>742</v>
      </c>
      <c r="G57" t="s">
        <v>743</v>
      </c>
      <c r="H57" t="s">
        <v>744</v>
      </c>
      <c r="I57" t="s">
        <v>745</v>
      </c>
      <c r="J57" t="s">
        <v>746</v>
      </c>
      <c r="K57" t="s">
        <v>747</v>
      </c>
      <c r="L57" t="s">
        <v>748</v>
      </c>
      <c r="M57" t="s">
        <v>749</v>
      </c>
      <c r="N57" t="s">
        <v>750</v>
      </c>
      <c r="O57">
        <v>5459045</v>
      </c>
      <c r="P57">
        <v>4919551</v>
      </c>
      <c r="Q57" t="s">
        <v>751</v>
      </c>
      <c r="R57">
        <v>1178</v>
      </c>
      <c r="S57">
        <v>990</v>
      </c>
      <c r="T57">
        <v>835</v>
      </c>
      <c r="U57">
        <v>703</v>
      </c>
      <c r="V57">
        <v>436</v>
      </c>
    </row>
    <row r="58" spans="1:22" x14ac:dyDescent="0.35">
      <c r="A58" s="1">
        <v>44228</v>
      </c>
      <c r="B58">
        <v>24998823</v>
      </c>
      <c r="C58">
        <v>122561</v>
      </c>
      <c r="D58" t="s">
        <v>47</v>
      </c>
      <c r="E58" t="s">
        <v>40</v>
      </c>
      <c r="F58" t="s">
        <v>752</v>
      </c>
      <c r="G58" t="s">
        <v>753</v>
      </c>
      <c r="H58" t="s">
        <v>754</v>
      </c>
      <c r="I58" t="s">
        <v>755</v>
      </c>
      <c r="J58" t="s">
        <v>756</v>
      </c>
      <c r="K58" t="s">
        <v>757</v>
      </c>
      <c r="L58" t="s">
        <v>758</v>
      </c>
      <c r="M58" t="s">
        <v>759</v>
      </c>
      <c r="N58" t="s">
        <v>760</v>
      </c>
      <c r="O58">
        <v>4611607</v>
      </c>
      <c r="P58">
        <v>8637487</v>
      </c>
      <c r="Q58" t="s">
        <v>761</v>
      </c>
      <c r="R58">
        <v>23665</v>
      </c>
      <c r="S58">
        <v>18633</v>
      </c>
      <c r="T58">
        <v>15827</v>
      </c>
      <c r="U58">
        <v>12382</v>
      </c>
      <c r="V58">
        <v>6267</v>
      </c>
    </row>
    <row r="59" spans="1:22" x14ac:dyDescent="0.35">
      <c r="A59" s="1">
        <v>44228</v>
      </c>
      <c r="B59">
        <v>24998823</v>
      </c>
      <c r="C59">
        <v>74552</v>
      </c>
      <c r="D59" t="s">
        <v>47</v>
      </c>
      <c r="E59" t="s">
        <v>41</v>
      </c>
      <c r="F59" t="s">
        <v>762</v>
      </c>
      <c r="G59" t="s">
        <v>763</v>
      </c>
      <c r="H59" t="s">
        <v>764</v>
      </c>
      <c r="I59" t="s">
        <v>765</v>
      </c>
      <c r="J59" t="s">
        <v>766</v>
      </c>
      <c r="K59" t="s">
        <v>767</v>
      </c>
      <c r="L59" t="s">
        <v>768</v>
      </c>
      <c r="M59" t="s">
        <v>769</v>
      </c>
      <c r="N59" t="s">
        <v>770</v>
      </c>
      <c r="O59">
        <v>4021884</v>
      </c>
      <c r="P59">
        <v>6701696</v>
      </c>
      <c r="Q59" t="s">
        <v>771</v>
      </c>
      <c r="R59">
        <v>10901</v>
      </c>
      <c r="S59">
        <v>8604</v>
      </c>
      <c r="T59">
        <v>7315</v>
      </c>
      <c r="U59">
        <v>5850</v>
      </c>
      <c r="V59">
        <v>3078</v>
      </c>
    </row>
    <row r="60" spans="1:22" x14ac:dyDescent="0.35">
      <c r="A60" s="1">
        <v>44228</v>
      </c>
      <c r="B60">
        <v>24998823</v>
      </c>
      <c r="C60">
        <v>13774</v>
      </c>
      <c r="D60" t="s">
        <v>47</v>
      </c>
      <c r="E60" t="s">
        <v>42</v>
      </c>
      <c r="F60" t="s">
        <v>772</v>
      </c>
      <c r="G60" t="s">
        <v>773</v>
      </c>
      <c r="H60" t="s">
        <v>774</v>
      </c>
      <c r="I60" t="s">
        <v>775</v>
      </c>
      <c r="J60" t="s">
        <v>776</v>
      </c>
      <c r="K60" t="s">
        <v>777</v>
      </c>
      <c r="L60" t="s">
        <v>778</v>
      </c>
      <c r="M60" t="s">
        <v>779</v>
      </c>
      <c r="N60" t="s">
        <v>780</v>
      </c>
      <c r="O60">
        <v>5069324</v>
      </c>
      <c r="P60">
        <v>3953184</v>
      </c>
      <c r="Q60" t="s">
        <v>781</v>
      </c>
      <c r="R60">
        <v>437</v>
      </c>
      <c r="S60">
        <v>360</v>
      </c>
      <c r="T60">
        <v>303</v>
      </c>
      <c r="U60">
        <v>255</v>
      </c>
      <c r="V60">
        <v>173</v>
      </c>
    </row>
    <row r="61" spans="1:22" x14ac:dyDescent="0.35">
      <c r="A61" s="1">
        <v>44228</v>
      </c>
      <c r="B61">
        <v>24998823</v>
      </c>
      <c r="C61">
        <v>13757</v>
      </c>
      <c r="D61" t="s">
        <v>47</v>
      </c>
      <c r="E61" t="s">
        <v>43</v>
      </c>
      <c r="F61" t="s">
        <v>782</v>
      </c>
      <c r="G61" t="s">
        <v>783</v>
      </c>
      <c r="H61" t="s">
        <v>784</v>
      </c>
      <c r="I61" t="s">
        <v>785</v>
      </c>
      <c r="J61" t="s">
        <v>786</v>
      </c>
      <c r="K61" t="s">
        <v>787</v>
      </c>
      <c r="L61" t="s">
        <v>788</v>
      </c>
      <c r="M61" t="s">
        <v>789</v>
      </c>
      <c r="N61" t="s">
        <v>790</v>
      </c>
      <c r="O61">
        <v>31812</v>
      </c>
      <c r="P61">
        <v>35341</v>
      </c>
      <c r="Q61" t="s">
        <v>791</v>
      </c>
      <c r="R61">
        <v>4302</v>
      </c>
      <c r="S61">
        <v>3889</v>
      </c>
      <c r="T61">
        <v>3367</v>
      </c>
      <c r="U61">
        <v>2389</v>
      </c>
      <c r="V61">
        <v>1870</v>
      </c>
    </row>
    <row r="62" spans="1:22" x14ac:dyDescent="0.35">
      <c r="A62" s="1">
        <v>44228</v>
      </c>
      <c r="B62">
        <v>24998823</v>
      </c>
      <c r="C62">
        <v>1530784</v>
      </c>
      <c r="D62" t="s">
        <v>48</v>
      </c>
      <c r="E62" t="s">
        <v>32</v>
      </c>
      <c r="F62" t="s">
        <v>792</v>
      </c>
      <c r="G62" t="s">
        <v>793</v>
      </c>
      <c r="H62" t="s">
        <v>794</v>
      </c>
      <c r="I62" t="s">
        <v>795</v>
      </c>
      <c r="J62" t="s">
        <v>796</v>
      </c>
      <c r="K62" t="s">
        <v>797</v>
      </c>
      <c r="L62" t="s">
        <v>798</v>
      </c>
      <c r="M62" t="s">
        <v>799</v>
      </c>
      <c r="N62" t="s">
        <v>800</v>
      </c>
      <c r="O62">
        <v>3107215</v>
      </c>
      <c r="P62">
        <v>40093700</v>
      </c>
      <c r="Q62" t="s">
        <v>801</v>
      </c>
      <c r="R62">
        <v>739565</v>
      </c>
      <c r="S62">
        <v>559890</v>
      </c>
      <c r="T62">
        <v>427409</v>
      </c>
      <c r="U62">
        <v>236505</v>
      </c>
      <c r="V62">
        <v>126139</v>
      </c>
    </row>
    <row r="63" spans="1:22" x14ac:dyDescent="0.35">
      <c r="A63" s="1">
        <v>44228</v>
      </c>
      <c r="B63">
        <v>24998823</v>
      </c>
      <c r="C63">
        <v>1049441</v>
      </c>
      <c r="D63" t="s">
        <v>48</v>
      </c>
      <c r="E63" t="s">
        <v>33</v>
      </c>
      <c r="F63" t="s">
        <v>802</v>
      </c>
      <c r="G63" t="s">
        <v>803</v>
      </c>
      <c r="H63" t="s">
        <v>804</v>
      </c>
      <c r="I63" t="s">
        <v>805</v>
      </c>
      <c r="J63" t="s">
        <v>806</v>
      </c>
      <c r="K63" t="s">
        <v>807</v>
      </c>
      <c r="L63" t="s">
        <v>808</v>
      </c>
      <c r="M63" t="s">
        <v>809</v>
      </c>
      <c r="N63" t="s">
        <v>810</v>
      </c>
      <c r="O63">
        <v>14677396</v>
      </c>
      <c r="P63">
        <v>62099861</v>
      </c>
      <c r="Q63" t="s">
        <v>811</v>
      </c>
      <c r="R63">
        <v>216820</v>
      </c>
      <c r="S63">
        <v>142887</v>
      </c>
      <c r="T63">
        <v>104444</v>
      </c>
      <c r="U63">
        <v>62575</v>
      </c>
      <c r="V63">
        <v>30502</v>
      </c>
    </row>
    <row r="64" spans="1:22" x14ac:dyDescent="0.35">
      <c r="A64" s="1">
        <v>44228</v>
      </c>
      <c r="B64">
        <v>24998823</v>
      </c>
      <c r="C64">
        <v>563896</v>
      </c>
      <c r="D64" t="s">
        <v>48</v>
      </c>
      <c r="E64" t="s">
        <v>34</v>
      </c>
      <c r="F64" t="s">
        <v>812</v>
      </c>
      <c r="G64" t="s">
        <v>813</v>
      </c>
      <c r="H64" t="s">
        <v>814</v>
      </c>
      <c r="I64" t="s">
        <v>815</v>
      </c>
      <c r="J64" t="s">
        <v>816</v>
      </c>
      <c r="K64" t="s">
        <v>817</v>
      </c>
      <c r="L64" t="s">
        <v>818</v>
      </c>
      <c r="M64" t="s">
        <v>819</v>
      </c>
      <c r="N64" t="s">
        <v>820</v>
      </c>
      <c r="O64">
        <v>47837832</v>
      </c>
      <c r="P64">
        <v>92076373</v>
      </c>
      <c r="Q64" t="s">
        <v>821</v>
      </c>
      <c r="R64">
        <v>18729</v>
      </c>
      <c r="S64">
        <v>12967</v>
      </c>
      <c r="T64">
        <v>9752</v>
      </c>
      <c r="U64">
        <v>6845</v>
      </c>
      <c r="V64">
        <v>3703</v>
      </c>
    </row>
    <row r="65" spans="1:22" x14ac:dyDescent="0.35">
      <c r="A65" s="1">
        <v>44228</v>
      </c>
      <c r="B65">
        <v>24998823</v>
      </c>
      <c r="C65">
        <v>444096</v>
      </c>
      <c r="D65" t="s">
        <v>48</v>
      </c>
      <c r="E65" t="s">
        <v>35</v>
      </c>
      <c r="F65" t="s">
        <v>822</v>
      </c>
      <c r="G65" t="s">
        <v>823</v>
      </c>
      <c r="H65" t="s">
        <v>824</v>
      </c>
      <c r="I65" t="s">
        <v>825</v>
      </c>
      <c r="J65" t="s">
        <v>826</v>
      </c>
      <c r="K65" t="s">
        <v>827</v>
      </c>
      <c r="L65" t="s">
        <v>828</v>
      </c>
      <c r="M65" t="s">
        <v>829</v>
      </c>
      <c r="N65" t="s">
        <v>830</v>
      </c>
      <c r="O65">
        <v>46674469</v>
      </c>
      <c r="P65">
        <v>80676905</v>
      </c>
      <c r="Q65" t="s">
        <v>831</v>
      </c>
      <c r="R65">
        <v>11857</v>
      </c>
      <c r="S65">
        <v>8257</v>
      </c>
      <c r="T65">
        <v>6225</v>
      </c>
      <c r="U65">
        <v>4449</v>
      </c>
      <c r="V65">
        <v>2427</v>
      </c>
    </row>
    <row r="66" spans="1:22" x14ac:dyDescent="0.35">
      <c r="A66" s="1">
        <v>44228</v>
      </c>
      <c r="B66">
        <v>24998823</v>
      </c>
      <c r="C66">
        <v>641943</v>
      </c>
      <c r="D66" t="s">
        <v>48</v>
      </c>
      <c r="E66" t="s">
        <v>36</v>
      </c>
      <c r="F66" t="s">
        <v>832</v>
      </c>
      <c r="G66" t="s">
        <v>833</v>
      </c>
      <c r="H66" t="s">
        <v>834</v>
      </c>
      <c r="I66" t="s">
        <v>835</v>
      </c>
      <c r="J66" t="s">
        <v>836</v>
      </c>
      <c r="K66" t="s">
        <v>837</v>
      </c>
      <c r="L66" t="s">
        <v>838</v>
      </c>
      <c r="M66" t="s">
        <v>839</v>
      </c>
      <c r="N66" t="s">
        <v>840</v>
      </c>
      <c r="O66">
        <v>85508819</v>
      </c>
      <c r="P66">
        <v>130778457</v>
      </c>
      <c r="Q66" t="s">
        <v>841</v>
      </c>
      <c r="R66">
        <v>13429</v>
      </c>
      <c r="S66">
        <v>9518</v>
      </c>
      <c r="T66">
        <v>7227</v>
      </c>
      <c r="U66">
        <v>5252</v>
      </c>
      <c r="V66">
        <v>2906</v>
      </c>
    </row>
    <row r="67" spans="1:22" x14ac:dyDescent="0.35">
      <c r="A67" s="1">
        <v>44228</v>
      </c>
      <c r="B67">
        <v>24998823</v>
      </c>
      <c r="C67">
        <v>741027</v>
      </c>
      <c r="D67" t="s">
        <v>48</v>
      </c>
      <c r="E67" t="s">
        <v>37</v>
      </c>
      <c r="F67" t="s">
        <v>842</v>
      </c>
      <c r="G67" t="s">
        <v>843</v>
      </c>
      <c r="H67" t="s">
        <v>844</v>
      </c>
      <c r="I67" t="s">
        <v>845</v>
      </c>
      <c r="J67" t="s">
        <v>846</v>
      </c>
      <c r="K67" t="s">
        <v>847</v>
      </c>
      <c r="L67" t="s">
        <v>848</v>
      </c>
      <c r="M67" t="s">
        <v>849</v>
      </c>
      <c r="N67" t="s">
        <v>850</v>
      </c>
      <c r="O67">
        <v>138719524</v>
      </c>
      <c r="P67">
        <v>179772306</v>
      </c>
      <c r="Q67" t="s">
        <v>851</v>
      </c>
      <c r="R67">
        <v>10773</v>
      </c>
      <c r="S67">
        <v>7894</v>
      </c>
      <c r="T67">
        <v>6018</v>
      </c>
      <c r="U67">
        <v>4417</v>
      </c>
      <c r="V67">
        <v>2519</v>
      </c>
    </row>
    <row r="68" spans="1:22" x14ac:dyDescent="0.35">
      <c r="A68" s="1">
        <v>44228</v>
      </c>
      <c r="B68">
        <v>24998823</v>
      </c>
      <c r="C68">
        <v>1305214</v>
      </c>
      <c r="D68" t="s">
        <v>48</v>
      </c>
      <c r="E68" t="s">
        <v>38</v>
      </c>
      <c r="F68" t="s">
        <v>852</v>
      </c>
      <c r="G68" t="s">
        <v>853</v>
      </c>
      <c r="H68" t="s">
        <v>854</v>
      </c>
      <c r="I68" t="s">
        <v>855</v>
      </c>
      <c r="J68" t="s">
        <v>856</v>
      </c>
      <c r="K68" t="s">
        <v>857</v>
      </c>
      <c r="L68" t="s">
        <v>858</v>
      </c>
      <c r="M68" t="s">
        <v>859</v>
      </c>
      <c r="N68" t="s">
        <v>860</v>
      </c>
      <c r="O68">
        <v>38703141</v>
      </c>
      <c r="P68">
        <v>116495738</v>
      </c>
      <c r="Q68" t="s">
        <v>861</v>
      </c>
      <c r="R68">
        <v>139760</v>
      </c>
      <c r="S68">
        <v>91691</v>
      </c>
      <c r="T68">
        <v>67723</v>
      </c>
      <c r="U68">
        <v>44007</v>
      </c>
      <c r="V68">
        <v>21744</v>
      </c>
    </row>
    <row r="69" spans="1:22" x14ac:dyDescent="0.35">
      <c r="A69" s="1">
        <v>44228</v>
      </c>
      <c r="B69">
        <v>24998823</v>
      </c>
      <c r="C69">
        <v>608938</v>
      </c>
      <c r="D69" t="s">
        <v>48</v>
      </c>
      <c r="E69" t="s">
        <v>39</v>
      </c>
      <c r="F69" t="s">
        <v>862</v>
      </c>
      <c r="G69" t="s">
        <v>863</v>
      </c>
      <c r="H69" t="s">
        <v>864</v>
      </c>
      <c r="I69" t="s">
        <v>865</v>
      </c>
      <c r="J69" t="s">
        <v>866</v>
      </c>
      <c r="K69" t="s">
        <v>867</v>
      </c>
      <c r="L69" t="s">
        <v>868</v>
      </c>
      <c r="M69" t="s">
        <v>869</v>
      </c>
      <c r="N69" t="s">
        <v>870</v>
      </c>
      <c r="O69">
        <v>166856610</v>
      </c>
      <c r="P69">
        <v>184041750</v>
      </c>
      <c r="Q69" t="s">
        <v>871</v>
      </c>
      <c r="R69">
        <v>5632</v>
      </c>
      <c r="S69">
        <v>4157</v>
      </c>
      <c r="T69">
        <v>3176</v>
      </c>
      <c r="U69">
        <v>2348</v>
      </c>
      <c r="V69">
        <v>1399</v>
      </c>
    </row>
    <row r="70" spans="1:22" x14ac:dyDescent="0.35">
      <c r="A70" s="1">
        <v>44228</v>
      </c>
      <c r="B70">
        <v>24998823</v>
      </c>
      <c r="C70">
        <v>967370</v>
      </c>
      <c r="D70" t="s">
        <v>48</v>
      </c>
      <c r="E70" t="s">
        <v>40</v>
      </c>
      <c r="F70" t="s">
        <v>872</v>
      </c>
      <c r="G70" t="s">
        <v>873</v>
      </c>
      <c r="H70" t="s">
        <v>874</v>
      </c>
      <c r="I70" t="s">
        <v>875</v>
      </c>
      <c r="J70" t="s">
        <v>876</v>
      </c>
      <c r="K70" t="s">
        <v>877</v>
      </c>
      <c r="L70" t="s">
        <v>878</v>
      </c>
      <c r="M70" t="s">
        <v>879</v>
      </c>
      <c r="N70" t="s">
        <v>880</v>
      </c>
      <c r="O70">
        <v>46024514</v>
      </c>
      <c r="P70">
        <v>114691460</v>
      </c>
      <c r="Q70" t="s">
        <v>881</v>
      </c>
      <c r="R70">
        <v>60790</v>
      </c>
      <c r="S70">
        <v>40386</v>
      </c>
      <c r="T70">
        <v>30264</v>
      </c>
      <c r="U70">
        <v>20833</v>
      </c>
      <c r="V70">
        <v>10544</v>
      </c>
    </row>
    <row r="71" spans="1:22" x14ac:dyDescent="0.35">
      <c r="A71" s="1">
        <v>44228</v>
      </c>
      <c r="B71">
        <v>24998823</v>
      </c>
      <c r="C71">
        <v>730990</v>
      </c>
      <c r="D71" t="s">
        <v>48</v>
      </c>
      <c r="E71" t="s">
        <v>41</v>
      </c>
      <c r="F71" t="s">
        <v>882</v>
      </c>
      <c r="G71" t="s">
        <v>883</v>
      </c>
      <c r="H71" t="s">
        <v>884</v>
      </c>
      <c r="I71" t="s">
        <v>885</v>
      </c>
      <c r="J71" t="s">
        <v>886</v>
      </c>
      <c r="K71" t="s">
        <v>887</v>
      </c>
      <c r="L71" t="s">
        <v>888</v>
      </c>
      <c r="M71" t="s">
        <v>889</v>
      </c>
      <c r="N71" t="s">
        <v>890</v>
      </c>
      <c r="O71">
        <v>47945771</v>
      </c>
      <c r="P71">
        <v>104153657</v>
      </c>
      <c r="Q71" t="s">
        <v>891</v>
      </c>
      <c r="R71">
        <v>31848</v>
      </c>
      <c r="S71">
        <v>21647</v>
      </c>
      <c r="T71">
        <v>16246</v>
      </c>
      <c r="U71">
        <v>11339</v>
      </c>
      <c r="V71">
        <v>5961</v>
      </c>
    </row>
    <row r="72" spans="1:22" x14ac:dyDescent="0.35">
      <c r="A72" s="1">
        <v>44228</v>
      </c>
      <c r="B72">
        <v>24998823</v>
      </c>
      <c r="C72">
        <v>423465</v>
      </c>
      <c r="D72" t="s">
        <v>48</v>
      </c>
      <c r="E72" t="s">
        <v>42</v>
      </c>
      <c r="F72" t="s">
        <v>892</v>
      </c>
      <c r="G72" t="s">
        <v>893</v>
      </c>
      <c r="H72" t="s">
        <v>894</v>
      </c>
      <c r="I72" t="s">
        <v>895</v>
      </c>
      <c r="J72" t="s">
        <v>896</v>
      </c>
      <c r="K72" t="s">
        <v>897</v>
      </c>
      <c r="L72" t="s">
        <v>898</v>
      </c>
      <c r="M72" t="s">
        <v>899</v>
      </c>
      <c r="N72" t="s">
        <v>900</v>
      </c>
      <c r="O72">
        <v>193562186</v>
      </c>
      <c r="P72">
        <v>179211713</v>
      </c>
      <c r="Q72" t="s">
        <v>901</v>
      </c>
      <c r="R72">
        <v>2114</v>
      </c>
      <c r="S72">
        <v>1570</v>
      </c>
      <c r="T72">
        <v>1167</v>
      </c>
      <c r="U72">
        <v>871</v>
      </c>
      <c r="V72">
        <v>532</v>
      </c>
    </row>
    <row r="73" spans="1:22" x14ac:dyDescent="0.35">
      <c r="A73" s="1">
        <v>44228</v>
      </c>
      <c r="B73">
        <v>24998823</v>
      </c>
      <c r="C73">
        <v>16750</v>
      </c>
      <c r="D73" t="s">
        <v>48</v>
      </c>
      <c r="E73" t="s">
        <v>43</v>
      </c>
      <c r="F73" t="s">
        <v>902</v>
      </c>
      <c r="G73" t="s">
        <v>903</v>
      </c>
      <c r="H73" t="s">
        <v>904</v>
      </c>
      <c r="I73" t="s">
        <v>905</v>
      </c>
      <c r="J73" t="s">
        <v>906</v>
      </c>
      <c r="K73" t="s">
        <v>907</v>
      </c>
      <c r="L73" t="s">
        <v>908</v>
      </c>
      <c r="M73" t="s">
        <v>909</v>
      </c>
      <c r="N73" t="s">
        <v>910</v>
      </c>
      <c r="O73">
        <v>132034</v>
      </c>
      <c r="P73">
        <v>355522</v>
      </c>
      <c r="Q73" t="s">
        <v>911</v>
      </c>
      <c r="R73">
        <v>7480</v>
      </c>
      <c r="S73">
        <v>6256</v>
      </c>
      <c r="T73">
        <v>4837</v>
      </c>
      <c r="U73">
        <v>2812</v>
      </c>
      <c r="V73">
        <v>1781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F6B3-C0FC-4BFC-8E93-712494EB4F6F}">
  <dimension ref="A1:V73"/>
  <sheetViews>
    <sheetView workbookViewId="0"/>
  </sheetViews>
  <sheetFormatPr defaultRowHeight="14.5" x14ac:dyDescent="0.35"/>
  <sheetData>
    <row r="1" spans="1:22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</row>
    <row r="2" spans="1:22" x14ac:dyDescent="0.35">
      <c r="A2" s="1">
        <v>44256</v>
      </c>
      <c r="B2">
        <v>25101804</v>
      </c>
      <c r="C2">
        <v>3250209</v>
      </c>
      <c r="D2" t="s">
        <v>31</v>
      </c>
      <c r="E2" t="s">
        <v>32</v>
      </c>
      <c r="F2" t="s">
        <v>912</v>
      </c>
      <c r="G2" t="s">
        <v>913</v>
      </c>
      <c r="H2" t="s">
        <v>914</v>
      </c>
      <c r="I2" t="s">
        <v>915</v>
      </c>
      <c r="J2" t="s">
        <v>916</v>
      </c>
      <c r="K2" t="s">
        <v>917</v>
      </c>
      <c r="L2" t="s">
        <v>918</v>
      </c>
      <c r="M2" t="s">
        <v>919</v>
      </c>
      <c r="N2" t="s">
        <v>920</v>
      </c>
      <c r="O2">
        <v>8368579</v>
      </c>
      <c r="P2">
        <v>16829965</v>
      </c>
      <c r="Q2" t="s">
        <v>921</v>
      </c>
      <c r="R2">
        <v>2445490</v>
      </c>
      <c r="S2">
        <v>2263728</v>
      </c>
      <c r="T2">
        <v>2099572</v>
      </c>
      <c r="U2">
        <v>1527653</v>
      </c>
      <c r="V2">
        <v>839303</v>
      </c>
    </row>
    <row r="3" spans="1:22" x14ac:dyDescent="0.35">
      <c r="A3" s="1">
        <v>44256</v>
      </c>
      <c r="B3">
        <v>25101804</v>
      </c>
      <c r="C3">
        <v>1194287</v>
      </c>
      <c r="D3" t="s">
        <v>31</v>
      </c>
      <c r="E3" t="s">
        <v>33</v>
      </c>
      <c r="F3" t="s">
        <v>922</v>
      </c>
      <c r="G3" t="s">
        <v>923</v>
      </c>
      <c r="H3" t="s">
        <v>924</v>
      </c>
      <c r="I3" t="s">
        <v>925</v>
      </c>
      <c r="J3" t="s">
        <v>926</v>
      </c>
      <c r="K3" t="s">
        <v>927</v>
      </c>
      <c r="L3" t="s">
        <v>928</v>
      </c>
      <c r="M3" t="s">
        <v>929</v>
      </c>
      <c r="N3" t="s">
        <v>930</v>
      </c>
      <c r="O3">
        <v>16647202</v>
      </c>
      <c r="P3">
        <v>21321985</v>
      </c>
      <c r="Q3" t="s">
        <v>931</v>
      </c>
      <c r="R3">
        <v>680014</v>
      </c>
      <c r="S3">
        <v>624105</v>
      </c>
      <c r="T3">
        <v>580778</v>
      </c>
      <c r="U3">
        <v>444583</v>
      </c>
      <c r="V3">
        <v>239718</v>
      </c>
    </row>
    <row r="4" spans="1:22" x14ac:dyDescent="0.35">
      <c r="A4" s="1">
        <v>44256</v>
      </c>
      <c r="B4">
        <v>25101804</v>
      </c>
      <c r="C4">
        <v>71296</v>
      </c>
      <c r="D4" t="s">
        <v>31</v>
      </c>
      <c r="E4" t="s">
        <v>34</v>
      </c>
      <c r="F4" t="s">
        <v>932</v>
      </c>
      <c r="G4" t="s">
        <v>933</v>
      </c>
      <c r="H4" t="s">
        <v>934</v>
      </c>
      <c r="I4" t="s">
        <v>935</v>
      </c>
      <c r="J4" t="s">
        <v>936</v>
      </c>
      <c r="K4" t="s">
        <v>937</v>
      </c>
      <c r="L4" t="s">
        <v>938</v>
      </c>
      <c r="M4" t="s">
        <v>939</v>
      </c>
      <c r="N4" t="s">
        <v>940</v>
      </c>
      <c r="O4">
        <v>7884788</v>
      </c>
      <c r="P4">
        <v>7129665</v>
      </c>
      <c r="Q4" t="s">
        <v>941</v>
      </c>
      <c r="R4">
        <v>12393</v>
      </c>
      <c r="S4">
        <v>10731</v>
      </c>
      <c r="T4">
        <v>9566</v>
      </c>
      <c r="U4">
        <v>8254</v>
      </c>
      <c r="V4">
        <v>5534</v>
      </c>
    </row>
    <row r="5" spans="1:22" x14ac:dyDescent="0.35">
      <c r="A5" s="1">
        <v>44256</v>
      </c>
      <c r="B5">
        <v>25101804</v>
      </c>
      <c r="C5">
        <v>44478</v>
      </c>
      <c r="D5" t="s">
        <v>31</v>
      </c>
      <c r="E5" t="s">
        <v>35</v>
      </c>
      <c r="F5" t="s">
        <v>942</v>
      </c>
      <c r="G5" t="s">
        <v>943</v>
      </c>
      <c r="H5" t="s">
        <v>944</v>
      </c>
      <c r="I5" t="s">
        <v>945</v>
      </c>
      <c r="J5" t="s">
        <v>946</v>
      </c>
      <c r="K5" t="s">
        <v>947</v>
      </c>
      <c r="L5" t="s">
        <v>948</v>
      </c>
      <c r="M5" t="s">
        <v>949</v>
      </c>
      <c r="N5" t="s">
        <v>950</v>
      </c>
      <c r="O5">
        <v>5918630</v>
      </c>
      <c r="P5">
        <v>5066168</v>
      </c>
      <c r="Q5" t="s">
        <v>951</v>
      </c>
      <c r="R5">
        <v>7228</v>
      </c>
      <c r="S5">
        <v>6332</v>
      </c>
      <c r="T5">
        <v>5723</v>
      </c>
      <c r="U5">
        <v>5023</v>
      </c>
      <c r="V5">
        <v>3371</v>
      </c>
    </row>
    <row r="6" spans="1:22" x14ac:dyDescent="0.35">
      <c r="A6" s="1">
        <v>44256</v>
      </c>
      <c r="B6">
        <v>25101804</v>
      </c>
      <c r="C6">
        <v>49365</v>
      </c>
      <c r="D6" t="s">
        <v>31</v>
      </c>
      <c r="E6" t="s">
        <v>36</v>
      </c>
      <c r="F6" t="s">
        <v>952</v>
      </c>
      <c r="G6" t="s">
        <v>953</v>
      </c>
      <c r="H6" t="s">
        <v>954</v>
      </c>
      <c r="I6" t="s">
        <v>955</v>
      </c>
      <c r="J6" t="s">
        <v>956</v>
      </c>
      <c r="K6" t="s">
        <v>957</v>
      </c>
      <c r="L6" t="s">
        <v>958</v>
      </c>
      <c r="M6" t="s">
        <v>959</v>
      </c>
      <c r="N6" t="s">
        <v>960</v>
      </c>
      <c r="O6">
        <v>7843088</v>
      </c>
      <c r="P6">
        <v>6382376</v>
      </c>
      <c r="Q6" t="s">
        <v>961</v>
      </c>
      <c r="R6">
        <v>7436</v>
      </c>
      <c r="S6">
        <v>6591</v>
      </c>
      <c r="T6">
        <v>5931</v>
      </c>
      <c r="U6">
        <v>5169</v>
      </c>
      <c r="V6">
        <v>3479</v>
      </c>
    </row>
    <row r="7" spans="1:22" x14ac:dyDescent="0.35">
      <c r="A7" s="1">
        <v>44256</v>
      </c>
      <c r="B7">
        <v>25101804</v>
      </c>
      <c r="C7">
        <v>38755</v>
      </c>
      <c r="D7" t="s">
        <v>31</v>
      </c>
      <c r="E7" t="s">
        <v>37</v>
      </c>
      <c r="F7" t="s">
        <v>962</v>
      </c>
      <c r="G7" t="s">
        <v>963</v>
      </c>
      <c r="H7" t="s">
        <v>964</v>
      </c>
      <c r="I7" t="s">
        <v>965</v>
      </c>
      <c r="J7" t="s">
        <v>966</v>
      </c>
      <c r="K7" t="s">
        <v>967</v>
      </c>
      <c r="L7" t="s">
        <v>968</v>
      </c>
      <c r="M7" t="s">
        <v>969</v>
      </c>
      <c r="N7" t="s">
        <v>970</v>
      </c>
      <c r="O7">
        <v>8071245</v>
      </c>
      <c r="P7">
        <v>6126044</v>
      </c>
      <c r="Q7" t="s">
        <v>971</v>
      </c>
      <c r="R7">
        <v>4954</v>
      </c>
      <c r="S7">
        <v>4428</v>
      </c>
      <c r="T7">
        <v>4010</v>
      </c>
      <c r="U7">
        <v>3545</v>
      </c>
      <c r="V7">
        <v>2411</v>
      </c>
    </row>
    <row r="8" spans="1:22" x14ac:dyDescent="0.35">
      <c r="A8" s="1">
        <v>44256</v>
      </c>
      <c r="B8">
        <v>25101804</v>
      </c>
      <c r="C8">
        <v>558826</v>
      </c>
      <c r="D8" t="s">
        <v>31</v>
      </c>
      <c r="E8" t="s">
        <v>38</v>
      </c>
      <c r="F8" t="s">
        <v>972</v>
      </c>
      <c r="G8" t="s">
        <v>973</v>
      </c>
      <c r="H8" t="s">
        <v>974</v>
      </c>
      <c r="I8" t="s">
        <v>975</v>
      </c>
      <c r="J8" t="s">
        <v>976</v>
      </c>
      <c r="K8" t="s">
        <v>977</v>
      </c>
      <c r="L8" t="s">
        <v>978</v>
      </c>
      <c r="M8" t="s">
        <v>979</v>
      </c>
      <c r="N8" t="s">
        <v>980</v>
      </c>
      <c r="O8">
        <v>21004127</v>
      </c>
      <c r="P8">
        <v>25576958</v>
      </c>
      <c r="Q8" t="s">
        <v>981</v>
      </c>
      <c r="R8">
        <v>173546</v>
      </c>
      <c r="S8">
        <v>147546</v>
      </c>
      <c r="T8">
        <v>129419</v>
      </c>
      <c r="U8">
        <v>105922</v>
      </c>
      <c r="V8">
        <v>66532</v>
      </c>
    </row>
    <row r="9" spans="1:22" x14ac:dyDescent="0.35">
      <c r="A9" s="1">
        <v>44256</v>
      </c>
      <c r="B9">
        <v>25101804</v>
      </c>
      <c r="C9">
        <v>20581</v>
      </c>
      <c r="D9" t="s">
        <v>31</v>
      </c>
      <c r="E9" t="s">
        <v>39</v>
      </c>
      <c r="F9" t="s">
        <v>982</v>
      </c>
      <c r="G9" t="s">
        <v>983</v>
      </c>
      <c r="H9" t="s">
        <v>984</v>
      </c>
      <c r="I9" t="s">
        <v>985</v>
      </c>
      <c r="J9" t="s">
        <v>986</v>
      </c>
      <c r="K9" t="s">
        <v>987</v>
      </c>
      <c r="L9" t="s">
        <v>988</v>
      </c>
      <c r="M9" t="s">
        <v>989</v>
      </c>
      <c r="N9" t="s">
        <v>990</v>
      </c>
      <c r="O9">
        <v>5893412</v>
      </c>
      <c r="P9">
        <v>4235596</v>
      </c>
      <c r="Q9" t="s">
        <v>991</v>
      </c>
      <c r="R9">
        <v>2186</v>
      </c>
      <c r="S9">
        <v>1952</v>
      </c>
      <c r="T9">
        <v>1793</v>
      </c>
      <c r="U9">
        <v>1586</v>
      </c>
      <c r="V9">
        <v>1052</v>
      </c>
    </row>
    <row r="10" spans="1:22" x14ac:dyDescent="0.35">
      <c r="A10" s="1">
        <v>44256</v>
      </c>
      <c r="B10">
        <v>25101804</v>
      </c>
      <c r="C10">
        <v>241880</v>
      </c>
      <c r="D10" t="s">
        <v>31</v>
      </c>
      <c r="E10" t="s">
        <v>40</v>
      </c>
      <c r="F10" t="s">
        <v>992</v>
      </c>
      <c r="G10" t="s">
        <v>993</v>
      </c>
      <c r="H10" t="s">
        <v>994</v>
      </c>
      <c r="I10" t="s">
        <v>995</v>
      </c>
      <c r="J10" t="s">
        <v>996</v>
      </c>
      <c r="K10" t="s">
        <v>997</v>
      </c>
      <c r="L10" t="s">
        <v>998</v>
      </c>
      <c r="M10" t="s">
        <v>999</v>
      </c>
      <c r="N10" t="s">
        <v>1000</v>
      </c>
      <c r="O10">
        <v>15144462</v>
      </c>
      <c r="P10">
        <v>16566669</v>
      </c>
      <c r="Q10" t="s">
        <v>1001</v>
      </c>
      <c r="R10">
        <v>57124</v>
      </c>
      <c r="S10">
        <v>48777</v>
      </c>
      <c r="T10">
        <v>43123</v>
      </c>
      <c r="U10">
        <v>36311</v>
      </c>
      <c r="V10">
        <v>23619</v>
      </c>
    </row>
    <row r="11" spans="1:22" x14ac:dyDescent="0.35">
      <c r="A11" s="1">
        <v>44256</v>
      </c>
      <c r="B11">
        <v>25101804</v>
      </c>
      <c r="C11">
        <v>124853</v>
      </c>
      <c r="D11" t="s">
        <v>31</v>
      </c>
      <c r="E11" t="s">
        <v>41</v>
      </c>
      <c r="F11" t="s">
        <v>1002</v>
      </c>
      <c r="G11" t="s">
        <v>1003</v>
      </c>
      <c r="H11" t="s">
        <v>1004</v>
      </c>
      <c r="I11" t="s">
        <v>1005</v>
      </c>
      <c r="J11" t="s">
        <v>1006</v>
      </c>
      <c r="K11" t="s">
        <v>1007</v>
      </c>
      <c r="L11" t="s">
        <v>1008</v>
      </c>
      <c r="M11" t="s">
        <v>1009</v>
      </c>
      <c r="N11" t="s">
        <v>1010</v>
      </c>
      <c r="O11">
        <v>10982853</v>
      </c>
      <c r="P11">
        <v>10764493</v>
      </c>
      <c r="Q11" t="s">
        <v>1011</v>
      </c>
      <c r="R11">
        <v>24586</v>
      </c>
      <c r="S11">
        <v>21255</v>
      </c>
      <c r="T11">
        <v>18900</v>
      </c>
      <c r="U11">
        <v>16166</v>
      </c>
      <c r="V11">
        <v>10790</v>
      </c>
    </row>
    <row r="12" spans="1:22" x14ac:dyDescent="0.35">
      <c r="A12" s="1">
        <v>44256</v>
      </c>
      <c r="B12">
        <v>25101804</v>
      </c>
      <c r="C12">
        <v>8757</v>
      </c>
      <c r="D12" t="s">
        <v>31</v>
      </c>
      <c r="E12" t="s">
        <v>42</v>
      </c>
      <c r="F12" t="s">
        <v>1012</v>
      </c>
      <c r="G12" t="s">
        <v>1013</v>
      </c>
      <c r="H12" t="s">
        <v>1014</v>
      </c>
      <c r="I12" t="s">
        <v>1015</v>
      </c>
      <c r="J12" t="s">
        <v>1016</v>
      </c>
      <c r="K12" t="s">
        <v>1017</v>
      </c>
      <c r="L12" t="s">
        <v>1018</v>
      </c>
      <c r="M12" t="s">
        <v>1019</v>
      </c>
      <c r="N12" t="s">
        <v>1020</v>
      </c>
      <c r="O12">
        <v>3576058</v>
      </c>
      <c r="P12">
        <v>2623504</v>
      </c>
      <c r="Q12" t="s">
        <v>1021</v>
      </c>
      <c r="R12">
        <v>773</v>
      </c>
      <c r="S12">
        <v>701</v>
      </c>
      <c r="T12">
        <v>652</v>
      </c>
      <c r="U12">
        <v>555</v>
      </c>
      <c r="V12">
        <v>347</v>
      </c>
    </row>
    <row r="13" spans="1:22" x14ac:dyDescent="0.35">
      <c r="A13" s="1">
        <v>44256</v>
      </c>
      <c r="B13">
        <v>25101804</v>
      </c>
      <c r="C13">
        <v>84902</v>
      </c>
      <c r="D13" t="s">
        <v>31</v>
      </c>
      <c r="E13" t="s">
        <v>43</v>
      </c>
      <c r="F13" t="s">
        <v>1022</v>
      </c>
      <c r="G13" t="s">
        <v>1023</v>
      </c>
      <c r="H13" t="s">
        <v>1024</v>
      </c>
      <c r="I13" t="s">
        <v>1025</v>
      </c>
      <c r="J13" t="s">
        <v>1026</v>
      </c>
      <c r="K13" t="s">
        <v>1027</v>
      </c>
      <c r="L13" t="s">
        <v>1028</v>
      </c>
      <c r="M13" t="s">
        <v>1029</v>
      </c>
      <c r="N13" t="s">
        <v>1030</v>
      </c>
      <c r="O13">
        <v>256826</v>
      </c>
      <c r="P13">
        <v>151213</v>
      </c>
      <c r="Q13" t="s">
        <v>1031</v>
      </c>
      <c r="R13">
        <v>34632</v>
      </c>
      <c r="S13">
        <v>32379</v>
      </c>
      <c r="T13">
        <v>30169</v>
      </c>
      <c r="U13">
        <v>24513</v>
      </c>
      <c r="V13">
        <v>16435</v>
      </c>
    </row>
    <row r="14" spans="1:22" x14ac:dyDescent="0.35">
      <c r="A14" s="1">
        <v>44256</v>
      </c>
      <c r="B14">
        <v>25101804</v>
      </c>
      <c r="C14">
        <v>1029655</v>
      </c>
      <c r="D14" t="s">
        <v>44</v>
      </c>
      <c r="E14" t="s">
        <v>32</v>
      </c>
      <c r="F14" t="s">
        <v>1032</v>
      </c>
      <c r="G14" t="s">
        <v>1033</v>
      </c>
      <c r="H14" t="s">
        <v>1034</v>
      </c>
      <c r="I14" t="s">
        <v>1035</v>
      </c>
      <c r="J14" t="s">
        <v>1036</v>
      </c>
      <c r="K14" t="s">
        <v>1037</v>
      </c>
      <c r="L14" t="s">
        <v>1038</v>
      </c>
      <c r="M14" t="s">
        <v>1039</v>
      </c>
      <c r="N14" t="s">
        <v>1040</v>
      </c>
      <c r="O14">
        <v>1506518</v>
      </c>
      <c r="P14">
        <v>15112773</v>
      </c>
      <c r="Q14" t="s">
        <v>1041</v>
      </c>
      <c r="R14">
        <v>709729</v>
      </c>
      <c r="S14">
        <v>611878</v>
      </c>
      <c r="T14">
        <v>510611</v>
      </c>
      <c r="U14">
        <v>282070</v>
      </c>
      <c r="V14">
        <v>149944</v>
      </c>
    </row>
    <row r="15" spans="1:22" x14ac:dyDescent="0.35">
      <c r="A15" s="1">
        <v>44256</v>
      </c>
      <c r="B15">
        <v>25101804</v>
      </c>
      <c r="C15">
        <v>525029</v>
      </c>
      <c r="D15" t="s">
        <v>44</v>
      </c>
      <c r="E15" t="s">
        <v>33</v>
      </c>
      <c r="F15" t="s">
        <v>1042</v>
      </c>
      <c r="G15" t="s">
        <v>1043</v>
      </c>
      <c r="H15" t="s">
        <v>1044</v>
      </c>
      <c r="I15" t="s">
        <v>1045</v>
      </c>
      <c r="J15" t="s">
        <v>1046</v>
      </c>
      <c r="K15" t="s">
        <v>1047</v>
      </c>
      <c r="L15" t="s">
        <v>1048</v>
      </c>
      <c r="M15" t="s">
        <v>1049</v>
      </c>
      <c r="N15" t="s">
        <v>1050</v>
      </c>
      <c r="O15">
        <v>5891377</v>
      </c>
      <c r="P15">
        <v>19794723</v>
      </c>
      <c r="Q15" t="s">
        <v>1051</v>
      </c>
      <c r="R15">
        <v>215502</v>
      </c>
      <c r="S15">
        <v>170137</v>
      </c>
      <c r="T15">
        <v>138130</v>
      </c>
      <c r="U15">
        <v>82208</v>
      </c>
      <c r="V15">
        <v>44006</v>
      </c>
    </row>
    <row r="16" spans="1:22" x14ac:dyDescent="0.35">
      <c r="A16" s="1">
        <v>44256</v>
      </c>
      <c r="B16">
        <v>25101804</v>
      </c>
      <c r="C16">
        <v>156016</v>
      </c>
      <c r="D16" t="s">
        <v>44</v>
      </c>
      <c r="E16" t="s">
        <v>34</v>
      </c>
      <c r="F16" t="s">
        <v>1052</v>
      </c>
      <c r="G16" t="s">
        <v>1053</v>
      </c>
      <c r="H16" t="s">
        <v>1054</v>
      </c>
      <c r="I16" t="s">
        <v>1055</v>
      </c>
      <c r="J16" t="s">
        <v>1056</v>
      </c>
      <c r="K16" t="s">
        <v>1057</v>
      </c>
      <c r="L16" t="s">
        <v>1058</v>
      </c>
      <c r="M16" t="s">
        <v>1059</v>
      </c>
      <c r="N16" t="s">
        <v>1060</v>
      </c>
      <c r="O16">
        <v>9836187</v>
      </c>
      <c r="P16">
        <v>20155744</v>
      </c>
      <c r="Q16" t="s">
        <v>1061</v>
      </c>
      <c r="R16">
        <v>13706</v>
      </c>
      <c r="S16">
        <v>10226</v>
      </c>
      <c r="T16">
        <v>8280</v>
      </c>
      <c r="U16">
        <v>6291</v>
      </c>
      <c r="V16">
        <v>4146</v>
      </c>
    </row>
    <row r="17" spans="1:22" x14ac:dyDescent="0.35">
      <c r="A17" s="1">
        <v>44256</v>
      </c>
      <c r="B17">
        <v>25101804</v>
      </c>
      <c r="C17">
        <v>112646</v>
      </c>
      <c r="D17" t="s">
        <v>44</v>
      </c>
      <c r="E17" t="s">
        <v>35</v>
      </c>
      <c r="F17" t="s">
        <v>1062</v>
      </c>
      <c r="G17" t="s">
        <v>1063</v>
      </c>
      <c r="H17" t="s">
        <v>1064</v>
      </c>
      <c r="I17" t="s">
        <v>1065</v>
      </c>
      <c r="J17" t="s">
        <v>1066</v>
      </c>
      <c r="K17" t="s">
        <v>1067</v>
      </c>
      <c r="L17" t="s">
        <v>1068</v>
      </c>
      <c r="M17" t="s">
        <v>1069</v>
      </c>
      <c r="N17" t="s">
        <v>1070</v>
      </c>
      <c r="O17">
        <v>8732138</v>
      </c>
      <c r="P17">
        <v>16392054</v>
      </c>
      <c r="Q17" t="s">
        <v>1071</v>
      </c>
      <c r="R17">
        <v>8232</v>
      </c>
      <c r="S17">
        <v>6307</v>
      </c>
      <c r="T17">
        <v>5171</v>
      </c>
      <c r="U17">
        <v>3955</v>
      </c>
      <c r="V17">
        <v>2641</v>
      </c>
    </row>
    <row r="18" spans="1:22" x14ac:dyDescent="0.35">
      <c r="A18" s="1">
        <v>44256</v>
      </c>
      <c r="B18">
        <v>25101804</v>
      </c>
      <c r="C18">
        <v>146279</v>
      </c>
      <c r="D18" t="s">
        <v>44</v>
      </c>
      <c r="E18" t="s">
        <v>36</v>
      </c>
      <c r="F18" t="s">
        <v>1072</v>
      </c>
      <c r="G18" t="s">
        <v>1073</v>
      </c>
      <c r="H18" t="s">
        <v>1074</v>
      </c>
      <c r="I18" t="s">
        <v>1075</v>
      </c>
      <c r="J18" t="s">
        <v>1076</v>
      </c>
      <c r="K18" t="s">
        <v>1077</v>
      </c>
      <c r="L18" t="s">
        <v>1078</v>
      </c>
      <c r="M18" t="s">
        <v>1079</v>
      </c>
      <c r="N18" t="s">
        <v>1080</v>
      </c>
      <c r="O18">
        <v>14551967</v>
      </c>
      <c r="P18">
        <v>24148350</v>
      </c>
      <c r="Q18" t="s">
        <v>1081</v>
      </c>
      <c r="R18">
        <v>9069</v>
      </c>
      <c r="S18">
        <v>6934</v>
      </c>
      <c r="T18">
        <v>5661</v>
      </c>
      <c r="U18">
        <v>4403</v>
      </c>
      <c r="V18">
        <v>2997</v>
      </c>
    </row>
    <row r="19" spans="1:22" x14ac:dyDescent="0.35">
      <c r="A19" s="1">
        <v>44256</v>
      </c>
      <c r="B19">
        <v>25101804</v>
      </c>
      <c r="C19">
        <v>145187</v>
      </c>
      <c r="D19" t="s">
        <v>44</v>
      </c>
      <c r="E19" t="s">
        <v>37</v>
      </c>
      <c r="F19" t="s">
        <v>1082</v>
      </c>
      <c r="G19" t="s">
        <v>1083</v>
      </c>
      <c r="H19" t="s">
        <v>1084</v>
      </c>
      <c r="I19" t="s">
        <v>1085</v>
      </c>
      <c r="J19" t="s">
        <v>1086</v>
      </c>
      <c r="K19" t="s">
        <v>1087</v>
      </c>
      <c r="L19" t="s">
        <v>1088</v>
      </c>
      <c r="M19" t="s">
        <v>1089</v>
      </c>
      <c r="N19" t="s">
        <v>1090</v>
      </c>
      <c r="O19">
        <v>20387102</v>
      </c>
      <c r="P19">
        <v>28400180</v>
      </c>
      <c r="Q19" t="s">
        <v>1091</v>
      </c>
      <c r="R19">
        <v>6677</v>
      </c>
      <c r="S19">
        <v>5175</v>
      </c>
      <c r="T19">
        <v>4232</v>
      </c>
      <c r="U19">
        <v>3348</v>
      </c>
      <c r="V19">
        <v>2285</v>
      </c>
    </row>
    <row r="20" spans="1:22" x14ac:dyDescent="0.35">
      <c r="A20" s="1">
        <v>44256</v>
      </c>
      <c r="B20">
        <v>25101804</v>
      </c>
      <c r="C20">
        <v>529896</v>
      </c>
      <c r="D20" t="s">
        <v>44</v>
      </c>
      <c r="E20" t="s">
        <v>38</v>
      </c>
      <c r="F20" t="s">
        <v>1092</v>
      </c>
      <c r="G20" t="s">
        <v>1093</v>
      </c>
      <c r="H20" t="s">
        <v>1094</v>
      </c>
      <c r="I20" t="s">
        <v>1095</v>
      </c>
      <c r="J20" t="s">
        <v>1096</v>
      </c>
      <c r="K20" t="s">
        <v>1097</v>
      </c>
      <c r="L20" t="s">
        <v>1098</v>
      </c>
      <c r="M20" t="s">
        <v>1099</v>
      </c>
      <c r="N20" t="s">
        <v>1100</v>
      </c>
      <c r="O20">
        <v>12004290</v>
      </c>
      <c r="P20">
        <v>33049432</v>
      </c>
      <c r="Q20" t="s">
        <v>1101</v>
      </c>
      <c r="R20">
        <v>129956</v>
      </c>
      <c r="S20">
        <v>98558</v>
      </c>
      <c r="T20">
        <v>79332</v>
      </c>
      <c r="U20">
        <v>52565</v>
      </c>
      <c r="V20">
        <v>30129</v>
      </c>
    </row>
    <row r="21" spans="1:22" x14ac:dyDescent="0.35">
      <c r="A21" s="1">
        <v>44256</v>
      </c>
      <c r="B21">
        <v>25101804</v>
      </c>
      <c r="C21">
        <v>102732</v>
      </c>
      <c r="D21" t="s">
        <v>44</v>
      </c>
      <c r="E21" t="s">
        <v>39</v>
      </c>
      <c r="F21" t="s">
        <v>1102</v>
      </c>
      <c r="G21" t="s">
        <v>1103</v>
      </c>
      <c r="H21" t="s">
        <v>1104</v>
      </c>
      <c r="I21" t="s">
        <v>1105</v>
      </c>
      <c r="J21" t="s">
        <v>1106</v>
      </c>
      <c r="K21" t="s">
        <v>1107</v>
      </c>
      <c r="L21" t="s">
        <v>1108</v>
      </c>
      <c r="M21" t="s">
        <v>1109</v>
      </c>
      <c r="N21" t="s">
        <v>1110</v>
      </c>
      <c r="O21">
        <v>22444292</v>
      </c>
      <c r="P21">
        <v>24984229</v>
      </c>
      <c r="Q21" t="s">
        <v>1111</v>
      </c>
      <c r="R21">
        <v>3293</v>
      </c>
      <c r="S21">
        <v>2602</v>
      </c>
      <c r="T21">
        <v>2198</v>
      </c>
      <c r="U21">
        <v>1805</v>
      </c>
      <c r="V21">
        <v>1238</v>
      </c>
    </row>
    <row r="22" spans="1:22" x14ac:dyDescent="0.35">
      <c r="A22" s="1">
        <v>44256</v>
      </c>
      <c r="B22">
        <v>25101804</v>
      </c>
      <c r="C22">
        <v>336615</v>
      </c>
      <c r="D22" t="s">
        <v>44</v>
      </c>
      <c r="E22" t="s">
        <v>40</v>
      </c>
      <c r="F22" t="s">
        <v>1112</v>
      </c>
      <c r="G22" t="s">
        <v>1113</v>
      </c>
      <c r="H22" t="s">
        <v>1114</v>
      </c>
      <c r="I22" t="s">
        <v>1115</v>
      </c>
      <c r="J22" t="s">
        <v>1116</v>
      </c>
      <c r="K22" t="s">
        <v>1117</v>
      </c>
      <c r="L22" t="s">
        <v>1118</v>
      </c>
      <c r="M22" t="s">
        <v>1119</v>
      </c>
      <c r="N22" t="s">
        <v>1120</v>
      </c>
      <c r="O22">
        <v>11908838</v>
      </c>
      <c r="P22">
        <v>29686515</v>
      </c>
      <c r="Q22" t="s">
        <v>1121</v>
      </c>
      <c r="R22">
        <v>51369</v>
      </c>
      <c r="S22">
        <v>38296</v>
      </c>
      <c r="T22">
        <v>30985</v>
      </c>
      <c r="U22">
        <v>22219</v>
      </c>
      <c r="V22">
        <v>13616</v>
      </c>
    </row>
    <row r="23" spans="1:22" x14ac:dyDescent="0.35">
      <c r="A23" s="1">
        <v>44256</v>
      </c>
      <c r="B23">
        <v>25101804</v>
      </c>
      <c r="C23">
        <v>226003</v>
      </c>
      <c r="D23" t="s">
        <v>44</v>
      </c>
      <c r="E23" t="s">
        <v>41</v>
      </c>
      <c r="F23" t="s">
        <v>1122</v>
      </c>
      <c r="G23" t="s">
        <v>1123</v>
      </c>
      <c r="H23" t="s">
        <v>1124</v>
      </c>
      <c r="I23" t="s">
        <v>1125</v>
      </c>
      <c r="J23" t="s">
        <v>1126</v>
      </c>
      <c r="K23" t="s">
        <v>1127</v>
      </c>
      <c r="L23" t="s">
        <v>1128</v>
      </c>
      <c r="M23" t="s">
        <v>1129</v>
      </c>
      <c r="N23" t="s">
        <v>1130</v>
      </c>
      <c r="O23">
        <v>11037522</v>
      </c>
      <c r="P23">
        <v>24812984</v>
      </c>
      <c r="Q23" t="s">
        <v>1131</v>
      </c>
      <c r="R23">
        <v>25069</v>
      </c>
      <c r="S23">
        <v>18682</v>
      </c>
      <c r="T23">
        <v>15139</v>
      </c>
      <c r="U23">
        <v>11287</v>
      </c>
      <c r="V23">
        <v>7184</v>
      </c>
    </row>
    <row r="24" spans="1:22" x14ac:dyDescent="0.35">
      <c r="A24" s="1">
        <v>44256</v>
      </c>
      <c r="B24">
        <v>25101804</v>
      </c>
      <c r="C24">
        <v>65366</v>
      </c>
      <c r="D24" t="s">
        <v>44</v>
      </c>
      <c r="E24" t="s">
        <v>42</v>
      </c>
      <c r="F24" t="s">
        <v>1132</v>
      </c>
      <c r="G24" t="s">
        <v>1133</v>
      </c>
      <c r="H24" t="s">
        <v>1134</v>
      </c>
      <c r="I24" t="s">
        <v>1135</v>
      </c>
      <c r="J24" t="s">
        <v>1136</v>
      </c>
      <c r="K24" t="s">
        <v>1137</v>
      </c>
      <c r="L24" t="s">
        <v>1138</v>
      </c>
      <c r="M24" t="s">
        <v>1139</v>
      </c>
      <c r="N24" t="s">
        <v>1140</v>
      </c>
      <c r="O24">
        <v>25641629</v>
      </c>
      <c r="P24">
        <v>22321201</v>
      </c>
      <c r="Q24" t="s">
        <v>1141</v>
      </c>
      <c r="R24">
        <v>1261</v>
      </c>
      <c r="S24">
        <v>1013</v>
      </c>
      <c r="T24">
        <v>860</v>
      </c>
      <c r="U24">
        <v>735</v>
      </c>
      <c r="V24">
        <v>515</v>
      </c>
    </row>
    <row r="25" spans="1:22" x14ac:dyDescent="0.35">
      <c r="A25" s="1">
        <v>44256</v>
      </c>
      <c r="B25">
        <v>25101804</v>
      </c>
      <c r="C25">
        <v>17352</v>
      </c>
      <c r="D25" t="s">
        <v>44</v>
      </c>
      <c r="E25" t="s">
        <v>43</v>
      </c>
      <c r="F25" t="s">
        <v>1142</v>
      </c>
      <c r="G25" t="s">
        <v>1143</v>
      </c>
      <c r="H25" t="s">
        <v>1144</v>
      </c>
      <c r="I25" t="s">
        <v>1145</v>
      </c>
      <c r="J25" t="s">
        <v>1146</v>
      </c>
      <c r="K25" t="s">
        <v>1147</v>
      </c>
      <c r="L25" t="s">
        <v>1148</v>
      </c>
      <c r="M25" t="s">
        <v>1149</v>
      </c>
      <c r="N25" t="s">
        <v>1150</v>
      </c>
      <c r="O25">
        <v>25230</v>
      </c>
      <c r="P25">
        <v>87075</v>
      </c>
      <c r="Q25" t="s">
        <v>1151</v>
      </c>
      <c r="R25">
        <v>6871</v>
      </c>
      <c r="S25">
        <v>6133</v>
      </c>
      <c r="T25">
        <v>5161</v>
      </c>
      <c r="U25">
        <v>3640</v>
      </c>
      <c r="V25">
        <v>2731</v>
      </c>
    </row>
    <row r="26" spans="1:22" x14ac:dyDescent="0.35">
      <c r="A26" s="1">
        <v>44256</v>
      </c>
      <c r="B26">
        <v>25101804</v>
      </c>
      <c r="C26">
        <v>1507548</v>
      </c>
      <c r="D26" t="s">
        <v>45</v>
      </c>
      <c r="E26" t="s">
        <v>32</v>
      </c>
      <c r="F26" t="s">
        <v>1152</v>
      </c>
      <c r="G26" t="s">
        <v>1153</v>
      </c>
      <c r="H26" t="s">
        <v>1154</v>
      </c>
      <c r="I26" t="s">
        <v>1155</v>
      </c>
      <c r="J26" t="s">
        <v>1156</v>
      </c>
      <c r="K26" t="s">
        <v>1157</v>
      </c>
      <c r="L26" t="s">
        <v>1158</v>
      </c>
      <c r="M26" t="s">
        <v>1159</v>
      </c>
      <c r="N26" t="s">
        <v>1160</v>
      </c>
      <c r="O26">
        <v>1838029</v>
      </c>
      <c r="P26">
        <v>10739840</v>
      </c>
      <c r="Q26" t="s">
        <v>1161</v>
      </c>
      <c r="R26">
        <v>1243758</v>
      </c>
      <c r="S26">
        <v>1142595</v>
      </c>
      <c r="T26">
        <v>958021</v>
      </c>
      <c r="U26">
        <v>467994</v>
      </c>
      <c r="V26">
        <v>225223</v>
      </c>
    </row>
    <row r="27" spans="1:22" x14ac:dyDescent="0.35">
      <c r="A27" s="1">
        <v>44256</v>
      </c>
      <c r="B27">
        <v>25101804</v>
      </c>
      <c r="C27">
        <v>614621</v>
      </c>
      <c r="D27" t="s">
        <v>45</v>
      </c>
      <c r="E27" t="s">
        <v>33</v>
      </c>
      <c r="F27" t="s">
        <v>1162</v>
      </c>
      <c r="G27" t="s">
        <v>1163</v>
      </c>
      <c r="H27" t="s">
        <v>1164</v>
      </c>
      <c r="I27" t="s">
        <v>1165</v>
      </c>
      <c r="J27" t="s">
        <v>1166</v>
      </c>
      <c r="K27" t="s">
        <v>1167</v>
      </c>
      <c r="L27" t="s">
        <v>1168</v>
      </c>
      <c r="M27" t="s">
        <v>1169</v>
      </c>
      <c r="N27" t="s">
        <v>1170</v>
      </c>
      <c r="O27">
        <v>5586779</v>
      </c>
      <c r="P27">
        <v>11067928</v>
      </c>
      <c r="Q27" t="s">
        <v>1171</v>
      </c>
      <c r="R27">
        <v>378802</v>
      </c>
      <c r="S27">
        <v>333195</v>
      </c>
      <c r="T27">
        <v>293995</v>
      </c>
      <c r="U27">
        <v>163592</v>
      </c>
      <c r="V27">
        <v>82147</v>
      </c>
    </row>
    <row r="28" spans="1:22" x14ac:dyDescent="0.35">
      <c r="A28" s="1">
        <v>44256</v>
      </c>
      <c r="B28">
        <v>25101804</v>
      </c>
      <c r="C28">
        <v>105059</v>
      </c>
      <c r="D28" t="s">
        <v>45</v>
      </c>
      <c r="E28" t="s">
        <v>34</v>
      </c>
      <c r="F28" t="s">
        <v>1172</v>
      </c>
      <c r="G28" t="s">
        <v>1173</v>
      </c>
      <c r="H28" t="s">
        <v>1174</v>
      </c>
      <c r="I28" t="s">
        <v>1175</v>
      </c>
      <c r="J28" t="s">
        <v>1176</v>
      </c>
      <c r="K28" t="s">
        <v>1177</v>
      </c>
      <c r="L28" t="s">
        <v>1178</v>
      </c>
      <c r="M28" t="s">
        <v>1179</v>
      </c>
      <c r="N28" t="s">
        <v>1180</v>
      </c>
      <c r="O28">
        <v>7748954</v>
      </c>
      <c r="P28">
        <v>10169240</v>
      </c>
      <c r="Q28" t="s">
        <v>1181</v>
      </c>
      <c r="R28">
        <v>20728</v>
      </c>
      <c r="S28">
        <v>17313</v>
      </c>
      <c r="T28">
        <v>15280</v>
      </c>
      <c r="U28">
        <v>11974</v>
      </c>
      <c r="V28">
        <v>7689</v>
      </c>
    </row>
    <row r="29" spans="1:22" x14ac:dyDescent="0.35">
      <c r="A29" s="1">
        <v>44256</v>
      </c>
      <c r="B29">
        <v>25101804</v>
      </c>
      <c r="C29">
        <v>71831</v>
      </c>
      <c r="D29" t="s">
        <v>45</v>
      </c>
      <c r="E29" t="s">
        <v>35</v>
      </c>
      <c r="F29" t="s">
        <v>1182</v>
      </c>
      <c r="G29" t="s">
        <v>1183</v>
      </c>
      <c r="H29" t="s">
        <v>1184</v>
      </c>
      <c r="I29" t="s">
        <v>1185</v>
      </c>
      <c r="J29" t="s">
        <v>1186</v>
      </c>
      <c r="K29" t="s">
        <v>1187</v>
      </c>
      <c r="L29" t="s">
        <v>1188</v>
      </c>
      <c r="M29" t="s">
        <v>1189</v>
      </c>
      <c r="N29" t="s">
        <v>1190</v>
      </c>
      <c r="O29">
        <v>6546095</v>
      </c>
      <c r="P29">
        <v>7942157</v>
      </c>
      <c r="Q29" t="s">
        <v>1191</v>
      </c>
      <c r="R29">
        <v>12516</v>
      </c>
      <c r="S29">
        <v>10535</v>
      </c>
      <c r="T29">
        <v>9316</v>
      </c>
      <c r="U29">
        <v>7426</v>
      </c>
      <c r="V29">
        <v>4805</v>
      </c>
    </row>
    <row r="30" spans="1:22" x14ac:dyDescent="0.35">
      <c r="A30" s="1">
        <v>44256</v>
      </c>
      <c r="B30">
        <v>25101804</v>
      </c>
      <c r="C30">
        <v>86460</v>
      </c>
      <c r="D30" t="s">
        <v>45</v>
      </c>
      <c r="E30" t="s">
        <v>36</v>
      </c>
      <c r="F30" t="s">
        <v>1192</v>
      </c>
      <c r="G30" t="s">
        <v>1193</v>
      </c>
      <c r="H30" t="s">
        <v>1194</v>
      </c>
      <c r="I30" t="s">
        <v>1195</v>
      </c>
      <c r="J30" t="s">
        <v>1196</v>
      </c>
      <c r="K30" t="s">
        <v>1197</v>
      </c>
      <c r="L30" t="s">
        <v>1198</v>
      </c>
      <c r="M30" t="s">
        <v>1199</v>
      </c>
      <c r="N30" t="s">
        <v>1200</v>
      </c>
      <c r="O30">
        <v>9998789</v>
      </c>
      <c r="P30">
        <v>11261422</v>
      </c>
      <c r="Q30" t="s">
        <v>1201</v>
      </c>
      <c r="R30">
        <v>13131</v>
      </c>
      <c r="S30">
        <v>11128</v>
      </c>
      <c r="T30">
        <v>9858</v>
      </c>
      <c r="U30">
        <v>7981</v>
      </c>
      <c r="V30">
        <v>5176</v>
      </c>
    </row>
    <row r="31" spans="1:22" x14ac:dyDescent="0.35">
      <c r="A31" s="1">
        <v>44256</v>
      </c>
      <c r="B31">
        <v>25101804</v>
      </c>
      <c r="C31">
        <v>77229</v>
      </c>
      <c r="D31" t="s">
        <v>45</v>
      </c>
      <c r="E31" t="s">
        <v>37</v>
      </c>
      <c r="F31" t="s">
        <v>1202</v>
      </c>
      <c r="G31" t="s">
        <v>1203</v>
      </c>
      <c r="H31" t="s">
        <v>1204</v>
      </c>
      <c r="I31" t="s">
        <v>1205</v>
      </c>
      <c r="J31" t="s">
        <v>1206</v>
      </c>
      <c r="K31" t="s">
        <v>1207</v>
      </c>
      <c r="L31" t="s">
        <v>1208</v>
      </c>
      <c r="M31" t="s">
        <v>1209</v>
      </c>
      <c r="N31" t="s">
        <v>1210</v>
      </c>
      <c r="O31">
        <v>12460812</v>
      </c>
      <c r="P31">
        <v>12339268</v>
      </c>
      <c r="Q31" t="s">
        <v>1211</v>
      </c>
      <c r="R31">
        <v>9658</v>
      </c>
      <c r="S31">
        <v>8255</v>
      </c>
      <c r="T31">
        <v>7322</v>
      </c>
      <c r="U31">
        <v>6063</v>
      </c>
      <c r="V31">
        <v>4043</v>
      </c>
    </row>
    <row r="32" spans="1:22" x14ac:dyDescent="0.35">
      <c r="A32" s="1">
        <v>44256</v>
      </c>
      <c r="B32">
        <v>25101804</v>
      </c>
      <c r="C32">
        <v>488593</v>
      </c>
      <c r="D32" t="s">
        <v>45</v>
      </c>
      <c r="E32" t="s">
        <v>38</v>
      </c>
      <c r="F32" t="s">
        <v>1212</v>
      </c>
      <c r="G32" t="s">
        <v>1213</v>
      </c>
      <c r="H32" t="s">
        <v>1214</v>
      </c>
      <c r="I32" t="s">
        <v>1215</v>
      </c>
      <c r="J32" t="s">
        <v>1216</v>
      </c>
      <c r="K32" t="s">
        <v>1217</v>
      </c>
      <c r="L32" t="s">
        <v>1218</v>
      </c>
      <c r="M32" t="s">
        <v>1219</v>
      </c>
      <c r="N32" t="s">
        <v>1220</v>
      </c>
      <c r="O32">
        <v>10512131</v>
      </c>
      <c r="P32">
        <v>18743322</v>
      </c>
      <c r="Q32" t="s">
        <v>1221</v>
      </c>
      <c r="R32">
        <v>204076</v>
      </c>
      <c r="S32">
        <v>172594</v>
      </c>
      <c r="T32">
        <v>151069</v>
      </c>
      <c r="U32">
        <v>101091</v>
      </c>
      <c r="V32">
        <v>55337</v>
      </c>
    </row>
    <row r="33" spans="1:22" x14ac:dyDescent="0.35">
      <c r="A33" s="1">
        <v>44256</v>
      </c>
      <c r="B33">
        <v>25101804</v>
      </c>
      <c r="C33">
        <v>47741</v>
      </c>
      <c r="D33" t="s">
        <v>45</v>
      </c>
      <c r="E33" t="s">
        <v>39</v>
      </c>
      <c r="F33" t="s">
        <v>1222</v>
      </c>
      <c r="G33" t="s">
        <v>1223</v>
      </c>
      <c r="H33" t="s">
        <v>1224</v>
      </c>
      <c r="I33" t="s">
        <v>1225</v>
      </c>
      <c r="J33" t="s">
        <v>1226</v>
      </c>
      <c r="K33" t="s">
        <v>1227</v>
      </c>
      <c r="L33" t="s">
        <v>1228</v>
      </c>
      <c r="M33" t="s">
        <v>1229</v>
      </c>
      <c r="N33" t="s">
        <v>1230</v>
      </c>
      <c r="O33">
        <v>11388073</v>
      </c>
      <c r="P33">
        <v>10093420</v>
      </c>
      <c r="Q33" t="s">
        <v>1231</v>
      </c>
      <c r="R33">
        <v>4608</v>
      </c>
      <c r="S33">
        <v>3960</v>
      </c>
      <c r="T33">
        <v>3560</v>
      </c>
      <c r="U33">
        <v>3019</v>
      </c>
      <c r="V33">
        <v>2014</v>
      </c>
    </row>
    <row r="34" spans="1:22" x14ac:dyDescent="0.35">
      <c r="A34" s="1">
        <v>44256</v>
      </c>
      <c r="B34">
        <v>25101804</v>
      </c>
      <c r="C34">
        <v>267233</v>
      </c>
      <c r="D34" t="s">
        <v>45</v>
      </c>
      <c r="E34" t="s">
        <v>40</v>
      </c>
      <c r="F34" t="s">
        <v>1232</v>
      </c>
      <c r="G34" t="s">
        <v>1233</v>
      </c>
      <c r="H34" t="s">
        <v>1234</v>
      </c>
      <c r="I34" t="s">
        <v>1235</v>
      </c>
      <c r="J34" t="s">
        <v>1236</v>
      </c>
      <c r="K34" t="s">
        <v>1237</v>
      </c>
      <c r="L34" t="s">
        <v>1238</v>
      </c>
      <c r="M34" t="s">
        <v>1239</v>
      </c>
      <c r="N34" t="s">
        <v>1240</v>
      </c>
      <c r="O34">
        <v>10102278</v>
      </c>
      <c r="P34">
        <v>16063757</v>
      </c>
      <c r="Q34" t="s">
        <v>1241</v>
      </c>
      <c r="R34">
        <v>78917</v>
      </c>
      <c r="S34">
        <v>66087</v>
      </c>
      <c r="T34">
        <v>58017</v>
      </c>
      <c r="U34">
        <v>42354</v>
      </c>
      <c r="V34">
        <v>25052</v>
      </c>
    </row>
    <row r="35" spans="1:22" x14ac:dyDescent="0.35">
      <c r="A35" s="1">
        <v>44256</v>
      </c>
      <c r="B35">
        <v>25101804</v>
      </c>
      <c r="C35">
        <v>162831</v>
      </c>
      <c r="D35" t="s">
        <v>45</v>
      </c>
      <c r="E35" t="s">
        <v>41</v>
      </c>
      <c r="F35" t="s">
        <v>1242</v>
      </c>
      <c r="G35" t="s">
        <v>1243</v>
      </c>
      <c r="H35" t="s">
        <v>1244</v>
      </c>
      <c r="I35" t="s">
        <v>1245</v>
      </c>
      <c r="J35" t="s">
        <v>1246</v>
      </c>
      <c r="K35" t="s">
        <v>1247</v>
      </c>
      <c r="L35" t="s">
        <v>1248</v>
      </c>
      <c r="M35" t="s">
        <v>1249</v>
      </c>
      <c r="N35" t="s">
        <v>1250</v>
      </c>
      <c r="O35">
        <v>8940167</v>
      </c>
      <c r="P35">
        <v>12938156</v>
      </c>
      <c r="Q35" t="s">
        <v>1251</v>
      </c>
      <c r="R35">
        <v>38220</v>
      </c>
      <c r="S35">
        <v>32028</v>
      </c>
      <c r="T35">
        <v>28063</v>
      </c>
      <c r="U35">
        <v>21470</v>
      </c>
      <c r="V35">
        <v>13344</v>
      </c>
    </row>
    <row r="36" spans="1:22" x14ac:dyDescent="0.35">
      <c r="A36" s="1">
        <v>44256</v>
      </c>
      <c r="B36">
        <v>25101804</v>
      </c>
      <c r="C36">
        <v>25136</v>
      </c>
      <c r="D36" t="s">
        <v>45</v>
      </c>
      <c r="E36" t="s">
        <v>42</v>
      </c>
      <c r="F36" t="s">
        <v>1252</v>
      </c>
      <c r="G36" t="s">
        <v>1253</v>
      </c>
      <c r="H36" t="s">
        <v>1254</v>
      </c>
      <c r="I36" t="s">
        <v>1255</v>
      </c>
      <c r="J36" t="s">
        <v>1256</v>
      </c>
      <c r="K36" t="s">
        <v>1257</v>
      </c>
      <c r="L36" t="s">
        <v>1258</v>
      </c>
      <c r="M36" t="s">
        <v>1259</v>
      </c>
      <c r="N36" t="s">
        <v>1260</v>
      </c>
      <c r="O36">
        <v>10475857</v>
      </c>
      <c r="P36">
        <v>8585258</v>
      </c>
      <c r="Q36" t="s">
        <v>1261</v>
      </c>
      <c r="R36">
        <v>1563</v>
      </c>
      <c r="S36">
        <v>1386</v>
      </c>
      <c r="T36">
        <v>1233</v>
      </c>
      <c r="U36">
        <v>1055</v>
      </c>
      <c r="V36">
        <v>719</v>
      </c>
    </row>
    <row r="37" spans="1:22" x14ac:dyDescent="0.35">
      <c r="A37" s="1">
        <v>44256</v>
      </c>
      <c r="B37">
        <v>25101804</v>
      </c>
      <c r="C37">
        <v>27506</v>
      </c>
      <c r="D37" t="s">
        <v>45</v>
      </c>
      <c r="E37" t="s">
        <v>43</v>
      </c>
      <c r="F37" t="s">
        <v>1262</v>
      </c>
      <c r="G37" t="s">
        <v>1263</v>
      </c>
      <c r="H37" t="s">
        <v>1264</v>
      </c>
      <c r="I37" t="s">
        <v>1265</v>
      </c>
      <c r="J37" t="s">
        <v>1266</v>
      </c>
      <c r="K37" t="s">
        <v>1267</v>
      </c>
      <c r="L37" t="s">
        <v>1268</v>
      </c>
      <c r="M37" t="s">
        <v>1269</v>
      </c>
      <c r="N37" t="s">
        <v>1270</v>
      </c>
      <c r="O37">
        <v>187121</v>
      </c>
      <c r="P37">
        <v>853269</v>
      </c>
      <c r="Q37" t="s">
        <v>1271</v>
      </c>
      <c r="R37">
        <v>14066</v>
      </c>
      <c r="S37">
        <v>12834</v>
      </c>
      <c r="T37">
        <v>10387</v>
      </c>
      <c r="U37">
        <v>6398</v>
      </c>
      <c r="V37">
        <v>4287</v>
      </c>
    </row>
    <row r="38" spans="1:22" x14ac:dyDescent="0.35">
      <c r="A38" s="1">
        <v>44256</v>
      </c>
      <c r="B38">
        <v>25101804</v>
      </c>
      <c r="C38">
        <v>806206</v>
      </c>
      <c r="D38" t="s">
        <v>46</v>
      </c>
      <c r="E38" t="s">
        <v>32</v>
      </c>
      <c r="F38" t="s">
        <v>1272</v>
      </c>
      <c r="G38" t="s">
        <v>1273</v>
      </c>
      <c r="H38" t="s">
        <v>1274</v>
      </c>
      <c r="I38" t="s">
        <v>1275</v>
      </c>
      <c r="J38" t="s">
        <v>1276</v>
      </c>
      <c r="K38" t="s">
        <v>1277</v>
      </c>
      <c r="L38" t="s">
        <v>1278</v>
      </c>
      <c r="M38" t="s">
        <v>1279</v>
      </c>
      <c r="N38" t="s">
        <v>1280</v>
      </c>
      <c r="O38">
        <v>1140885</v>
      </c>
      <c r="P38">
        <v>6357197</v>
      </c>
      <c r="Q38" t="s">
        <v>1281</v>
      </c>
      <c r="R38">
        <v>625407</v>
      </c>
      <c r="S38">
        <v>558741</v>
      </c>
      <c r="T38">
        <v>478248</v>
      </c>
      <c r="U38">
        <v>258758</v>
      </c>
      <c r="V38">
        <v>130268</v>
      </c>
    </row>
    <row r="39" spans="1:22" x14ac:dyDescent="0.35">
      <c r="A39" s="1">
        <v>44256</v>
      </c>
      <c r="B39">
        <v>25101804</v>
      </c>
      <c r="C39">
        <v>363628</v>
      </c>
      <c r="D39" t="s">
        <v>46</v>
      </c>
      <c r="E39" t="s">
        <v>33</v>
      </c>
      <c r="F39" t="s">
        <v>1282</v>
      </c>
      <c r="G39" t="s">
        <v>1283</v>
      </c>
      <c r="H39" t="s">
        <v>1284</v>
      </c>
      <c r="I39" t="s">
        <v>1285</v>
      </c>
      <c r="J39" t="s">
        <v>1286</v>
      </c>
      <c r="K39" t="s">
        <v>1287</v>
      </c>
      <c r="L39" t="s">
        <v>1288</v>
      </c>
      <c r="M39" t="s">
        <v>1289</v>
      </c>
      <c r="N39" t="s">
        <v>1290</v>
      </c>
      <c r="O39">
        <v>3755960</v>
      </c>
      <c r="P39">
        <v>8999658</v>
      </c>
      <c r="Q39" t="s">
        <v>1291</v>
      </c>
      <c r="R39">
        <v>193433</v>
      </c>
      <c r="S39">
        <v>162022</v>
      </c>
      <c r="T39">
        <v>138053</v>
      </c>
      <c r="U39">
        <v>84819</v>
      </c>
      <c r="V39">
        <v>43934</v>
      </c>
    </row>
    <row r="40" spans="1:22" x14ac:dyDescent="0.35">
      <c r="A40" s="1">
        <v>44256</v>
      </c>
      <c r="B40">
        <v>25101804</v>
      </c>
      <c r="C40">
        <v>71432</v>
      </c>
      <c r="D40" t="s">
        <v>46</v>
      </c>
      <c r="E40" t="s">
        <v>34</v>
      </c>
      <c r="F40" t="s">
        <v>1292</v>
      </c>
      <c r="G40" t="s">
        <v>1293</v>
      </c>
      <c r="H40" t="s">
        <v>1294</v>
      </c>
      <c r="I40" t="s">
        <v>1295</v>
      </c>
      <c r="J40" t="s">
        <v>1296</v>
      </c>
      <c r="K40" t="s">
        <v>1297</v>
      </c>
      <c r="L40" t="s">
        <v>1298</v>
      </c>
      <c r="M40" t="s">
        <v>1299</v>
      </c>
      <c r="N40" t="s">
        <v>1300</v>
      </c>
      <c r="O40">
        <v>5579679</v>
      </c>
      <c r="P40">
        <v>7800364</v>
      </c>
      <c r="Q40" t="s">
        <v>1301</v>
      </c>
      <c r="R40">
        <v>10717</v>
      </c>
      <c r="S40">
        <v>8633</v>
      </c>
      <c r="T40">
        <v>7363</v>
      </c>
      <c r="U40">
        <v>5791</v>
      </c>
      <c r="V40">
        <v>3803</v>
      </c>
    </row>
    <row r="41" spans="1:22" x14ac:dyDescent="0.35">
      <c r="A41" s="1">
        <v>44256</v>
      </c>
      <c r="B41">
        <v>25101804</v>
      </c>
      <c r="C41">
        <v>48739</v>
      </c>
      <c r="D41" t="s">
        <v>46</v>
      </c>
      <c r="E41" t="s">
        <v>35</v>
      </c>
      <c r="F41" t="s">
        <v>1302</v>
      </c>
      <c r="G41" t="s">
        <v>1303</v>
      </c>
      <c r="H41" t="s">
        <v>1304</v>
      </c>
      <c r="I41" t="s">
        <v>1305</v>
      </c>
      <c r="J41" t="s">
        <v>1306</v>
      </c>
      <c r="K41" t="s">
        <v>1307</v>
      </c>
      <c r="L41" t="s">
        <v>1308</v>
      </c>
      <c r="M41" t="s">
        <v>1309</v>
      </c>
      <c r="N41" t="s">
        <v>1310</v>
      </c>
      <c r="O41">
        <v>4849212</v>
      </c>
      <c r="P41">
        <v>5965497</v>
      </c>
      <c r="Q41" t="s">
        <v>1311</v>
      </c>
      <c r="R41">
        <v>6332</v>
      </c>
      <c r="S41">
        <v>5119</v>
      </c>
      <c r="T41">
        <v>4406</v>
      </c>
      <c r="U41">
        <v>3588</v>
      </c>
      <c r="V41">
        <v>2383</v>
      </c>
    </row>
    <row r="42" spans="1:22" x14ac:dyDescent="0.35">
      <c r="A42" s="1">
        <v>44256</v>
      </c>
      <c r="B42">
        <v>25101804</v>
      </c>
      <c r="C42">
        <v>59495</v>
      </c>
      <c r="D42" t="s">
        <v>46</v>
      </c>
      <c r="E42" t="s">
        <v>36</v>
      </c>
      <c r="F42" t="s">
        <v>1312</v>
      </c>
      <c r="G42" t="s">
        <v>1313</v>
      </c>
      <c r="H42" t="s">
        <v>1314</v>
      </c>
      <c r="I42" t="s">
        <v>1315</v>
      </c>
      <c r="J42" t="s">
        <v>1316</v>
      </c>
      <c r="K42" t="s">
        <v>1317</v>
      </c>
      <c r="L42" t="s">
        <v>1318</v>
      </c>
      <c r="M42" t="s">
        <v>1319</v>
      </c>
      <c r="N42" t="s">
        <v>1320</v>
      </c>
      <c r="O42">
        <v>7452037</v>
      </c>
      <c r="P42">
        <v>8406146</v>
      </c>
      <c r="Q42" t="s">
        <v>1321</v>
      </c>
      <c r="R42">
        <v>6744</v>
      </c>
      <c r="S42">
        <v>5499</v>
      </c>
      <c r="T42">
        <v>4736</v>
      </c>
      <c r="U42">
        <v>3841</v>
      </c>
      <c r="V42">
        <v>2588</v>
      </c>
    </row>
    <row r="43" spans="1:22" x14ac:dyDescent="0.35">
      <c r="A43" s="1">
        <v>44256</v>
      </c>
      <c r="B43">
        <v>25101804</v>
      </c>
      <c r="C43">
        <v>54199</v>
      </c>
      <c r="D43" t="s">
        <v>46</v>
      </c>
      <c r="E43" t="s">
        <v>37</v>
      </c>
      <c r="F43" t="s">
        <v>1322</v>
      </c>
      <c r="G43" t="s">
        <v>1323</v>
      </c>
      <c r="H43" t="s">
        <v>1324</v>
      </c>
      <c r="I43" t="s">
        <v>1325</v>
      </c>
      <c r="J43" t="s">
        <v>1326</v>
      </c>
      <c r="K43" t="s">
        <v>1327</v>
      </c>
      <c r="L43" t="s">
        <v>1328</v>
      </c>
      <c r="M43" t="s">
        <v>1329</v>
      </c>
      <c r="N43" t="s">
        <v>1330</v>
      </c>
      <c r="O43">
        <v>9635280</v>
      </c>
      <c r="P43">
        <v>9328970</v>
      </c>
      <c r="Q43" t="s">
        <v>1331</v>
      </c>
      <c r="R43">
        <v>4742</v>
      </c>
      <c r="S43">
        <v>3928</v>
      </c>
      <c r="T43">
        <v>3390</v>
      </c>
      <c r="U43">
        <v>2833</v>
      </c>
      <c r="V43">
        <v>1930</v>
      </c>
    </row>
    <row r="44" spans="1:22" x14ac:dyDescent="0.35">
      <c r="A44" s="1">
        <v>44256</v>
      </c>
      <c r="B44">
        <v>25101804</v>
      </c>
      <c r="C44">
        <v>320583</v>
      </c>
      <c r="D44" t="s">
        <v>46</v>
      </c>
      <c r="E44" t="s">
        <v>38</v>
      </c>
      <c r="F44" t="s">
        <v>1332</v>
      </c>
      <c r="G44" t="s">
        <v>1333</v>
      </c>
      <c r="H44" t="s">
        <v>1334</v>
      </c>
      <c r="I44" t="s">
        <v>1335</v>
      </c>
      <c r="J44" t="s">
        <v>1336</v>
      </c>
      <c r="K44" t="s">
        <v>1337</v>
      </c>
      <c r="L44" t="s">
        <v>1338</v>
      </c>
      <c r="M44" t="s">
        <v>1339</v>
      </c>
      <c r="N44" t="s">
        <v>1340</v>
      </c>
      <c r="O44">
        <v>7247574</v>
      </c>
      <c r="P44">
        <v>14612561</v>
      </c>
      <c r="Q44" t="s">
        <v>1341</v>
      </c>
      <c r="R44">
        <v>112737</v>
      </c>
      <c r="S44">
        <v>91246</v>
      </c>
      <c r="T44">
        <v>77520</v>
      </c>
      <c r="U44">
        <v>53374</v>
      </c>
      <c r="V44">
        <v>30218</v>
      </c>
    </row>
    <row r="45" spans="1:22" x14ac:dyDescent="0.35">
      <c r="A45" s="1">
        <v>44256</v>
      </c>
      <c r="B45">
        <v>25101804</v>
      </c>
      <c r="C45">
        <v>34275</v>
      </c>
      <c r="D45" t="s">
        <v>46</v>
      </c>
      <c r="E45" t="s">
        <v>39</v>
      </c>
      <c r="F45" t="s">
        <v>1342</v>
      </c>
      <c r="G45" t="s">
        <v>1343</v>
      </c>
      <c r="H45" t="s">
        <v>1344</v>
      </c>
      <c r="I45" t="s">
        <v>1345</v>
      </c>
      <c r="J45" t="s">
        <v>1346</v>
      </c>
      <c r="K45" t="s">
        <v>1347</v>
      </c>
      <c r="L45" t="s">
        <v>1348</v>
      </c>
      <c r="M45" t="s">
        <v>1349</v>
      </c>
      <c r="N45" t="s">
        <v>1350</v>
      </c>
      <c r="O45">
        <v>8713849</v>
      </c>
      <c r="P45">
        <v>7532088</v>
      </c>
      <c r="Q45" t="s">
        <v>1351</v>
      </c>
      <c r="R45">
        <v>2298</v>
      </c>
      <c r="S45">
        <v>1941</v>
      </c>
      <c r="T45">
        <v>1692</v>
      </c>
      <c r="U45">
        <v>1438</v>
      </c>
      <c r="V45">
        <v>1017</v>
      </c>
    </row>
    <row r="46" spans="1:22" x14ac:dyDescent="0.35">
      <c r="A46" s="1">
        <v>44256</v>
      </c>
      <c r="B46">
        <v>25101804</v>
      </c>
      <c r="C46">
        <v>180858</v>
      </c>
      <c r="D46" t="s">
        <v>46</v>
      </c>
      <c r="E46" t="s">
        <v>40</v>
      </c>
      <c r="F46" t="s">
        <v>1352</v>
      </c>
      <c r="G46" t="s">
        <v>1353</v>
      </c>
      <c r="H46" t="s">
        <v>1354</v>
      </c>
      <c r="I46" t="s">
        <v>1355</v>
      </c>
      <c r="J46" t="s">
        <v>1356</v>
      </c>
      <c r="K46" t="s">
        <v>1357</v>
      </c>
      <c r="L46" t="s">
        <v>1358</v>
      </c>
      <c r="M46" t="s">
        <v>1359</v>
      </c>
      <c r="N46" t="s">
        <v>1360</v>
      </c>
      <c r="O46">
        <v>7108422</v>
      </c>
      <c r="P46">
        <v>12554783</v>
      </c>
      <c r="Q46" t="s">
        <v>1361</v>
      </c>
      <c r="R46">
        <v>42740</v>
      </c>
      <c r="S46">
        <v>34169</v>
      </c>
      <c r="T46">
        <v>29120</v>
      </c>
      <c r="U46">
        <v>21889</v>
      </c>
      <c r="V46">
        <v>13320</v>
      </c>
    </row>
    <row r="47" spans="1:22" x14ac:dyDescent="0.35">
      <c r="A47" s="1">
        <v>44256</v>
      </c>
      <c r="B47">
        <v>25101804</v>
      </c>
      <c r="C47">
        <v>110551</v>
      </c>
      <c r="D47" t="s">
        <v>46</v>
      </c>
      <c r="E47" t="s">
        <v>41</v>
      </c>
      <c r="F47" t="s">
        <v>1362</v>
      </c>
      <c r="G47" t="s">
        <v>1363</v>
      </c>
      <c r="H47" t="s">
        <v>1364</v>
      </c>
      <c r="I47" t="s">
        <v>1365</v>
      </c>
      <c r="J47" t="s">
        <v>1366</v>
      </c>
      <c r="K47" t="s">
        <v>1367</v>
      </c>
      <c r="L47" t="s">
        <v>1368</v>
      </c>
      <c r="M47" t="s">
        <v>1369</v>
      </c>
      <c r="N47" t="s">
        <v>1370</v>
      </c>
      <c r="O47">
        <v>6302003</v>
      </c>
      <c r="P47">
        <v>9869711</v>
      </c>
      <c r="Q47" t="s">
        <v>1371</v>
      </c>
      <c r="R47">
        <v>20290</v>
      </c>
      <c r="S47">
        <v>16354</v>
      </c>
      <c r="T47">
        <v>13977</v>
      </c>
      <c r="U47">
        <v>10823</v>
      </c>
      <c r="V47">
        <v>6907</v>
      </c>
    </row>
    <row r="48" spans="1:22" x14ac:dyDescent="0.35">
      <c r="A48" s="1">
        <v>44256</v>
      </c>
      <c r="B48">
        <v>25101804</v>
      </c>
      <c r="C48">
        <v>19406</v>
      </c>
      <c r="D48" t="s">
        <v>46</v>
      </c>
      <c r="E48" t="s">
        <v>42</v>
      </c>
      <c r="F48" t="s">
        <v>1372</v>
      </c>
      <c r="G48" t="s">
        <v>1373</v>
      </c>
      <c r="H48" t="s">
        <v>1374</v>
      </c>
      <c r="I48" t="s">
        <v>1375</v>
      </c>
      <c r="J48" t="s">
        <v>1376</v>
      </c>
      <c r="K48" t="s">
        <v>1377</v>
      </c>
      <c r="L48" t="s">
        <v>1378</v>
      </c>
      <c r="M48" t="s">
        <v>1379</v>
      </c>
      <c r="N48" t="s">
        <v>1380</v>
      </c>
      <c r="O48">
        <v>8090357</v>
      </c>
      <c r="P48">
        <v>6121967</v>
      </c>
      <c r="Q48" t="s">
        <v>1381</v>
      </c>
      <c r="R48">
        <v>792</v>
      </c>
      <c r="S48">
        <v>667</v>
      </c>
      <c r="T48">
        <v>591</v>
      </c>
      <c r="U48">
        <v>503</v>
      </c>
      <c r="V48">
        <v>348</v>
      </c>
    </row>
    <row r="49" spans="1:22" x14ac:dyDescent="0.35">
      <c r="A49" s="1">
        <v>44256</v>
      </c>
      <c r="B49">
        <v>25101804</v>
      </c>
      <c r="C49">
        <v>13951</v>
      </c>
      <c r="D49" t="s">
        <v>46</v>
      </c>
      <c r="E49" t="s">
        <v>43</v>
      </c>
      <c r="F49" t="s">
        <v>1382</v>
      </c>
      <c r="G49" t="s">
        <v>1383</v>
      </c>
      <c r="H49" t="s">
        <v>1384</v>
      </c>
      <c r="I49" t="s">
        <v>1385</v>
      </c>
      <c r="J49" t="s">
        <v>1386</v>
      </c>
      <c r="K49" t="s">
        <v>1387</v>
      </c>
      <c r="L49" t="s">
        <v>1388</v>
      </c>
      <c r="M49" t="s">
        <v>1389</v>
      </c>
      <c r="N49" t="s">
        <v>1390</v>
      </c>
      <c r="O49">
        <v>1454283</v>
      </c>
      <c r="P49">
        <v>222286</v>
      </c>
      <c r="Q49" t="s">
        <v>1391</v>
      </c>
      <c r="R49">
        <v>5786</v>
      </c>
      <c r="S49">
        <v>5046</v>
      </c>
      <c r="T49">
        <v>4227</v>
      </c>
      <c r="U49">
        <v>2827</v>
      </c>
      <c r="V49">
        <v>1927</v>
      </c>
    </row>
    <row r="50" spans="1:22" x14ac:dyDescent="0.35">
      <c r="A50" s="1">
        <v>44256</v>
      </c>
      <c r="B50">
        <v>25101804</v>
      </c>
      <c r="C50">
        <v>519267</v>
      </c>
      <c r="D50" t="s">
        <v>47</v>
      </c>
      <c r="E50" t="s">
        <v>32</v>
      </c>
      <c r="F50" t="s">
        <v>1392</v>
      </c>
      <c r="G50" t="s">
        <v>1393</v>
      </c>
      <c r="H50" t="s">
        <v>1394</v>
      </c>
      <c r="I50" t="s">
        <v>1395</v>
      </c>
      <c r="J50" t="s">
        <v>1396</v>
      </c>
      <c r="K50" t="s">
        <v>1397</v>
      </c>
      <c r="L50" t="s">
        <v>1398</v>
      </c>
      <c r="M50" t="s">
        <v>1399</v>
      </c>
      <c r="N50" t="s">
        <v>1400</v>
      </c>
      <c r="O50">
        <v>818878</v>
      </c>
      <c r="P50">
        <v>4869341</v>
      </c>
      <c r="Q50" t="s">
        <v>1401</v>
      </c>
      <c r="R50">
        <v>377224</v>
      </c>
      <c r="S50">
        <v>334948</v>
      </c>
      <c r="T50">
        <v>285716</v>
      </c>
      <c r="U50">
        <v>158203</v>
      </c>
      <c r="V50">
        <v>82649</v>
      </c>
    </row>
    <row r="51" spans="1:22" x14ac:dyDescent="0.35">
      <c r="A51" s="1">
        <v>44256</v>
      </c>
      <c r="B51">
        <v>25101804</v>
      </c>
      <c r="C51">
        <v>231646</v>
      </c>
      <c r="D51" t="s">
        <v>47</v>
      </c>
      <c r="E51" t="s">
        <v>33</v>
      </c>
      <c r="F51" t="s">
        <v>1402</v>
      </c>
      <c r="G51" t="s">
        <v>1403</v>
      </c>
      <c r="H51" t="s">
        <v>1404</v>
      </c>
      <c r="I51" t="s">
        <v>1405</v>
      </c>
      <c r="J51" t="s">
        <v>1406</v>
      </c>
      <c r="K51" t="s">
        <v>1407</v>
      </c>
      <c r="L51" t="s">
        <v>1408</v>
      </c>
      <c r="M51" t="s">
        <v>1409</v>
      </c>
      <c r="N51" t="s">
        <v>1410</v>
      </c>
      <c r="O51">
        <v>2723464</v>
      </c>
      <c r="P51">
        <v>6602568</v>
      </c>
      <c r="Q51" t="s">
        <v>1411</v>
      </c>
      <c r="R51">
        <v>113101</v>
      </c>
      <c r="S51">
        <v>93441</v>
      </c>
      <c r="T51">
        <v>78327</v>
      </c>
      <c r="U51">
        <v>47749</v>
      </c>
      <c r="V51">
        <v>25249</v>
      </c>
    </row>
    <row r="52" spans="1:22" x14ac:dyDescent="0.35">
      <c r="A52" s="1">
        <v>44256</v>
      </c>
      <c r="B52">
        <v>25101804</v>
      </c>
      <c r="C52">
        <v>53872</v>
      </c>
      <c r="D52" t="s">
        <v>47</v>
      </c>
      <c r="E52" t="s">
        <v>34</v>
      </c>
      <c r="F52" t="s">
        <v>1412</v>
      </c>
      <c r="G52" t="s">
        <v>1413</v>
      </c>
      <c r="H52" t="s">
        <v>1414</v>
      </c>
      <c r="I52" t="s">
        <v>1415</v>
      </c>
      <c r="J52" t="s">
        <v>1416</v>
      </c>
      <c r="K52" t="s">
        <v>1417</v>
      </c>
      <c r="L52" t="s">
        <v>1418</v>
      </c>
      <c r="M52" t="s">
        <v>1419</v>
      </c>
      <c r="N52" t="s">
        <v>1420</v>
      </c>
      <c r="O52">
        <v>4235900</v>
      </c>
      <c r="P52">
        <v>6197370</v>
      </c>
      <c r="Q52" t="s">
        <v>1421</v>
      </c>
      <c r="R52">
        <v>6466</v>
      </c>
      <c r="S52">
        <v>5097</v>
      </c>
      <c r="T52">
        <v>4299</v>
      </c>
      <c r="U52">
        <v>3372</v>
      </c>
      <c r="V52">
        <v>2276</v>
      </c>
    </row>
    <row r="53" spans="1:22" x14ac:dyDescent="0.35">
      <c r="A53" s="1">
        <v>44256</v>
      </c>
      <c r="B53">
        <v>25101804</v>
      </c>
      <c r="C53">
        <v>36892</v>
      </c>
      <c r="D53" t="s">
        <v>47</v>
      </c>
      <c r="E53" t="s">
        <v>35</v>
      </c>
      <c r="F53" t="s">
        <v>1422</v>
      </c>
      <c r="G53" t="s">
        <v>1423</v>
      </c>
      <c r="H53" t="s">
        <v>1424</v>
      </c>
      <c r="I53" t="s">
        <v>1425</v>
      </c>
      <c r="J53" t="s">
        <v>1426</v>
      </c>
      <c r="K53" t="s">
        <v>1427</v>
      </c>
      <c r="L53" t="s">
        <v>1428</v>
      </c>
      <c r="M53" t="s">
        <v>1429</v>
      </c>
      <c r="N53" t="s">
        <v>1430</v>
      </c>
      <c r="O53">
        <v>3574036</v>
      </c>
      <c r="P53">
        <v>4807048</v>
      </c>
      <c r="Q53" t="s">
        <v>1431</v>
      </c>
      <c r="R53">
        <v>3794</v>
      </c>
      <c r="S53">
        <v>2977</v>
      </c>
      <c r="T53">
        <v>2478</v>
      </c>
      <c r="U53">
        <v>1999</v>
      </c>
      <c r="V53">
        <v>1337</v>
      </c>
    </row>
    <row r="54" spans="1:22" x14ac:dyDescent="0.35">
      <c r="A54" s="1">
        <v>44256</v>
      </c>
      <c r="B54">
        <v>25101804</v>
      </c>
      <c r="C54">
        <v>45753</v>
      </c>
      <c r="D54" t="s">
        <v>47</v>
      </c>
      <c r="E54" t="s">
        <v>36</v>
      </c>
      <c r="F54" t="s">
        <v>1432</v>
      </c>
      <c r="G54" t="s">
        <v>1433</v>
      </c>
      <c r="H54" t="s">
        <v>1434</v>
      </c>
      <c r="I54" t="s">
        <v>1435</v>
      </c>
      <c r="J54" t="s">
        <v>1436</v>
      </c>
      <c r="K54" t="s">
        <v>1437</v>
      </c>
      <c r="L54" t="s">
        <v>1438</v>
      </c>
      <c r="M54" t="s">
        <v>1439</v>
      </c>
      <c r="N54" t="s">
        <v>1440</v>
      </c>
      <c r="O54">
        <v>5624373</v>
      </c>
      <c r="P54">
        <v>6943702</v>
      </c>
      <c r="Q54" t="s">
        <v>1441</v>
      </c>
      <c r="R54">
        <v>3997</v>
      </c>
      <c r="S54">
        <v>3194</v>
      </c>
      <c r="T54">
        <v>2685</v>
      </c>
      <c r="U54">
        <v>2181</v>
      </c>
      <c r="V54">
        <v>1486</v>
      </c>
    </row>
    <row r="55" spans="1:22" x14ac:dyDescent="0.35">
      <c r="A55" s="1">
        <v>44256</v>
      </c>
      <c r="B55">
        <v>25101804</v>
      </c>
      <c r="C55">
        <v>42237</v>
      </c>
      <c r="D55" t="s">
        <v>47</v>
      </c>
      <c r="E55" t="s">
        <v>37</v>
      </c>
      <c r="F55" t="s">
        <v>1442</v>
      </c>
      <c r="G55" t="s">
        <v>1443</v>
      </c>
      <c r="H55" t="s">
        <v>1444</v>
      </c>
      <c r="I55" t="s">
        <v>1445</v>
      </c>
      <c r="J55" t="s">
        <v>1446</v>
      </c>
      <c r="K55" t="s">
        <v>1447</v>
      </c>
      <c r="L55" t="s">
        <v>1448</v>
      </c>
      <c r="M55" t="s">
        <v>1449</v>
      </c>
      <c r="N55" t="s">
        <v>1450</v>
      </c>
      <c r="O55">
        <v>7341557</v>
      </c>
      <c r="P55">
        <v>7680933</v>
      </c>
      <c r="Q55" t="s">
        <v>1451</v>
      </c>
      <c r="R55">
        <v>2909</v>
      </c>
      <c r="S55">
        <v>2359</v>
      </c>
      <c r="T55">
        <v>1990</v>
      </c>
      <c r="U55">
        <v>1620</v>
      </c>
      <c r="V55">
        <v>1141</v>
      </c>
    </row>
    <row r="56" spans="1:22" x14ac:dyDescent="0.35">
      <c r="A56" s="1">
        <v>44256</v>
      </c>
      <c r="B56">
        <v>25101804</v>
      </c>
      <c r="C56">
        <v>218795</v>
      </c>
      <c r="D56" t="s">
        <v>47</v>
      </c>
      <c r="E56" t="s">
        <v>38</v>
      </c>
      <c r="F56" t="s">
        <v>1452</v>
      </c>
      <c r="G56" t="s">
        <v>1453</v>
      </c>
      <c r="H56" t="s">
        <v>1454</v>
      </c>
      <c r="I56" t="s">
        <v>1455</v>
      </c>
      <c r="J56" t="s">
        <v>1456</v>
      </c>
      <c r="K56" t="s">
        <v>1457</v>
      </c>
      <c r="L56" t="s">
        <v>1458</v>
      </c>
      <c r="M56" t="s">
        <v>1459</v>
      </c>
      <c r="N56" t="s">
        <v>1460</v>
      </c>
      <c r="O56">
        <v>5322051</v>
      </c>
      <c r="P56">
        <v>11103349</v>
      </c>
      <c r="Q56" t="s">
        <v>1461</v>
      </c>
      <c r="R56">
        <v>66747</v>
      </c>
      <c r="S56">
        <v>52840</v>
      </c>
      <c r="T56">
        <v>43963</v>
      </c>
      <c r="U56">
        <v>30374</v>
      </c>
      <c r="V56">
        <v>17442</v>
      </c>
    </row>
    <row r="57" spans="1:22" x14ac:dyDescent="0.35">
      <c r="A57" s="1">
        <v>44256</v>
      </c>
      <c r="B57">
        <v>25101804</v>
      </c>
      <c r="C57">
        <v>27042</v>
      </c>
      <c r="D57" t="s">
        <v>47</v>
      </c>
      <c r="E57" t="s">
        <v>39</v>
      </c>
      <c r="F57" t="s">
        <v>1462</v>
      </c>
      <c r="G57" t="s">
        <v>1463</v>
      </c>
      <c r="H57" t="s">
        <v>1464</v>
      </c>
      <c r="I57" t="s">
        <v>1465</v>
      </c>
      <c r="J57" t="s">
        <v>1466</v>
      </c>
      <c r="K57" t="s">
        <v>1467</v>
      </c>
      <c r="L57" t="s">
        <v>1468</v>
      </c>
      <c r="M57" t="s">
        <v>1469</v>
      </c>
      <c r="N57" t="s">
        <v>1470</v>
      </c>
      <c r="O57">
        <v>6887301</v>
      </c>
      <c r="P57">
        <v>6074813</v>
      </c>
      <c r="Q57" t="s">
        <v>1471</v>
      </c>
      <c r="R57">
        <v>1380</v>
      </c>
      <c r="S57">
        <v>1117</v>
      </c>
      <c r="T57">
        <v>943</v>
      </c>
      <c r="U57">
        <v>804</v>
      </c>
      <c r="V57">
        <v>550</v>
      </c>
    </row>
    <row r="58" spans="1:22" x14ac:dyDescent="0.35">
      <c r="A58" s="1">
        <v>44256</v>
      </c>
      <c r="B58">
        <v>25101804</v>
      </c>
      <c r="C58">
        <v>130875</v>
      </c>
      <c r="D58" t="s">
        <v>47</v>
      </c>
      <c r="E58" t="s">
        <v>40</v>
      </c>
      <c r="F58" t="s">
        <v>1472</v>
      </c>
      <c r="G58" t="s">
        <v>1473</v>
      </c>
      <c r="H58" t="s">
        <v>1474</v>
      </c>
      <c r="I58" t="s">
        <v>1475</v>
      </c>
      <c r="J58" t="s">
        <v>1476</v>
      </c>
      <c r="K58" t="s">
        <v>1477</v>
      </c>
      <c r="L58" t="s">
        <v>1478</v>
      </c>
      <c r="M58" t="s">
        <v>1479</v>
      </c>
      <c r="N58" t="s">
        <v>1480</v>
      </c>
      <c r="O58">
        <v>5328323</v>
      </c>
      <c r="P58">
        <v>9831542</v>
      </c>
      <c r="Q58" t="s">
        <v>1481</v>
      </c>
      <c r="R58">
        <v>25646</v>
      </c>
      <c r="S58">
        <v>20031</v>
      </c>
      <c r="T58">
        <v>16695</v>
      </c>
      <c r="U58">
        <v>12441</v>
      </c>
      <c r="V58">
        <v>7697</v>
      </c>
    </row>
    <row r="59" spans="1:22" x14ac:dyDescent="0.35">
      <c r="A59" s="1">
        <v>44256</v>
      </c>
      <c r="B59">
        <v>25101804</v>
      </c>
      <c r="C59">
        <v>81038</v>
      </c>
      <c r="D59" t="s">
        <v>47</v>
      </c>
      <c r="E59" t="s">
        <v>41</v>
      </c>
      <c r="F59" t="s">
        <v>1482</v>
      </c>
      <c r="G59" t="s">
        <v>1483</v>
      </c>
      <c r="H59" t="s">
        <v>1484</v>
      </c>
      <c r="I59" t="s">
        <v>1485</v>
      </c>
      <c r="J59" t="s">
        <v>1486</v>
      </c>
      <c r="K59" t="s">
        <v>1487</v>
      </c>
      <c r="L59" t="s">
        <v>1488</v>
      </c>
      <c r="M59" t="s">
        <v>1489</v>
      </c>
      <c r="N59" t="s">
        <v>1490</v>
      </c>
      <c r="O59">
        <v>4789019</v>
      </c>
      <c r="P59">
        <v>7905591</v>
      </c>
      <c r="Q59" t="s">
        <v>1491</v>
      </c>
      <c r="R59">
        <v>11976</v>
      </c>
      <c r="S59">
        <v>9431</v>
      </c>
      <c r="T59">
        <v>7940</v>
      </c>
      <c r="U59">
        <v>6155</v>
      </c>
      <c r="V59">
        <v>3969</v>
      </c>
    </row>
    <row r="60" spans="1:22" x14ac:dyDescent="0.35">
      <c r="A60" s="1">
        <v>44256</v>
      </c>
      <c r="B60">
        <v>25101804</v>
      </c>
      <c r="C60">
        <v>15769</v>
      </c>
      <c r="D60" t="s">
        <v>47</v>
      </c>
      <c r="E60" t="s">
        <v>42</v>
      </c>
      <c r="F60" t="s">
        <v>1492</v>
      </c>
      <c r="G60" t="s">
        <v>1493</v>
      </c>
      <c r="H60" t="s">
        <v>1494</v>
      </c>
      <c r="I60" t="s">
        <v>1495</v>
      </c>
      <c r="J60" t="s">
        <v>1496</v>
      </c>
      <c r="K60" t="s">
        <v>1497</v>
      </c>
      <c r="L60" t="s">
        <v>1498</v>
      </c>
      <c r="M60" t="s">
        <v>1499</v>
      </c>
      <c r="N60" t="s">
        <v>1500</v>
      </c>
      <c r="O60">
        <v>6468324</v>
      </c>
      <c r="P60">
        <v>5021139</v>
      </c>
      <c r="Q60" t="s">
        <v>1501</v>
      </c>
      <c r="R60">
        <v>513</v>
      </c>
      <c r="S60">
        <v>416</v>
      </c>
      <c r="T60">
        <v>361</v>
      </c>
      <c r="U60">
        <v>307</v>
      </c>
      <c r="V60">
        <v>218</v>
      </c>
    </row>
    <row r="61" spans="1:22" x14ac:dyDescent="0.35">
      <c r="A61" s="1">
        <v>44256</v>
      </c>
      <c r="B61">
        <v>25101804</v>
      </c>
      <c r="C61">
        <v>13175</v>
      </c>
      <c r="D61" t="s">
        <v>47</v>
      </c>
      <c r="E61" t="s">
        <v>43</v>
      </c>
      <c r="F61" t="s">
        <v>1502</v>
      </c>
      <c r="G61" t="s">
        <v>1503</v>
      </c>
      <c r="H61" t="s">
        <v>1504</v>
      </c>
      <c r="I61" t="s">
        <v>1505</v>
      </c>
      <c r="J61" t="s">
        <v>1506</v>
      </c>
      <c r="K61" t="s">
        <v>1507</v>
      </c>
      <c r="L61" t="s">
        <v>1508</v>
      </c>
      <c r="M61" t="s">
        <v>1509</v>
      </c>
      <c r="N61" t="s">
        <v>1510</v>
      </c>
      <c r="O61">
        <v>59237</v>
      </c>
      <c r="P61">
        <v>49127</v>
      </c>
      <c r="Q61" t="s">
        <v>1511</v>
      </c>
      <c r="R61">
        <v>4692</v>
      </c>
      <c r="S61">
        <v>4261</v>
      </c>
      <c r="T61">
        <v>3690</v>
      </c>
      <c r="U61">
        <v>2638</v>
      </c>
      <c r="V61">
        <v>1991</v>
      </c>
    </row>
    <row r="62" spans="1:22" x14ac:dyDescent="0.35">
      <c r="A62" s="1">
        <v>44256</v>
      </c>
      <c r="B62">
        <v>25101804</v>
      </c>
      <c r="C62">
        <v>1486929</v>
      </c>
      <c r="D62" t="s">
        <v>48</v>
      </c>
      <c r="E62" t="s">
        <v>32</v>
      </c>
      <c r="F62" t="s">
        <v>1512</v>
      </c>
      <c r="G62" t="s">
        <v>1513</v>
      </c>
      <c r="H62" t="s">
        <v>1514</v>
      </c>
      <c r="I62" t="s">
        <v>1515</v>
      </c>
      <c r="J62" t="s">
        <v>1516</v>
      </c>
      <c r="K62" t="s">
        <v>1517</v>
      </c>
      <c r="L62" t="s">
        <v>1518</v>
      </c>
      <c r="M62" t="s">
        <v>1519</v>
      </c>
      <c r="N62" t="s">
        <v>1520</v>
      </c>
      <c r="O62">
        <v>2743971</v>
      </c>
      <c r="P62">
        <v>41898754</v>
      </c>
      <c r="Q62" t="s">
        <v>1521</v>
      </c>
      <c r="R62">
        <v>756689</v>
      </c>
      <c r="S62">
        <v>593361</v>
      </c>
      <c r="T62">
        <v>458250</v>
      </c>
      <c r="U62">
        <v>254033</v>
      </c>
      <c r="V62">
        <v>136309</v>
      </c>
    </row>
    <row r="63" spans="1:22" x14ac:dyDescent="0.35">
      <c r="A63" s="1">
        <v>44256</v>
      </c>
      <c r="B63">
        <v>25101804</v>
      </c>
      <c r="C63">
        <v>1020153</v>
      </c>
      <c r="D63" t="s">
        <v>48</v>
      </c>
      <c r="E63" t="s">
        <v>33</v>
      </c>
      <c r="F63" t="s">
        <v>1522</v>
      </c>
      <c r="G63" t="s">
        <v>1523</v>
      </c>
      <c r="H63" t="s">
        <v>1524</v>
      </c>
      <c r="I63" t="s">
        <v>1525</v>
      </c>
      <c r="J63" t="s">
        <v>1526</v>
      </c>
      <c r="K63" t="s">
        <v>1527</v>
      </c>
      <c r="L63" t="s">
        <v>1528</v>
      </c>
      <c r="M63" t="s">
        <v>1529</v>
      </c>
      <c r="N63" t="s">
        <v>1530</v>
      </c>
      <c r="O63">
        <v>14265721</v>
      </c>
      <c r="P63">
        <v>64615801</v>
      </c>
      <c r="Q63" t="s">
        <v>1531</v>
      </c>
      <c r="R63">
        <v>223394</v>
      </c>
      <c r="S63">
        <v>152008</v>
      </c>
      <c r="T63">
        <v>111458</v>
      </c>
      <c r="U63">
        <v>63798</v>
      </c>
      <c r="V63">
        <v>33095</v>
      </c>
    </row>
    <row r="64" spans="1:22" x14ac:dyDescent="0.35">
      <c r="A64" s="1">
        <v>44256</v>
      </c>
      <c r="B64">
        <v>25101804</v>
      </c>
      <c r="C64">
        <v>569382</v>
      </c>
      <c r="D64" t="s">
        <v>48</v>
      </c>
      <c r="E64" t="s">
        <v>34</v>
      </c>
      <c r="F64" t="s">
        <v>1532</v>
      </c>
      <c r="G64" t="s">
        <v>1533</v>
      </c>
      <c r="H64" t="s">
        <v>1534</v>
      </c>
      <c r="I64" t="s">
        <v>1535</v>
      </c>
      <c r="J64" t="s">
        <v>1536</v>
      </c>
      <c r="K64" t="s">
        <v>1537</v>
      </c>
      <c r="L64" t="s">
        <v>1538</v>
      </c>
      <c r="M64" t="s">
        <v>1539</v>
      </c>
      <c r="N64" t="s">
        <v>1540</v>
      </c>
      <c r="O64">
        <v>50749460</v>
      </c>
      <c r="P64">
        <v>100768269</v>
      </c>
      <c r="Q64" t="s">
        <v>1541</v>
      </c>
      <c r="R64">
        <v>18612</v>
      </c>
      <c r="S64">
        <v>12588</v>
      </c>
      <c r="T64">
        <v>9459</v>
      </c>
      <c r="U64">
        <v>6799</v>
      </c>
      <c r="V64">
        <v>4249</v>
      </c>
    </row>
    <row r="65" spans="1:22" x14ac:dyDescent="0.35">
      <c r="A65" s="1">
        <v>44256</v>
      </c>
      <c r="B65">
        <v>25101804</v>
      </c>
      <c r="C65">
        <v>451289</v>
      </c>
      <c r="D65" t="s">
        <v>48</v>
      </c>
      <c r="E65" t="s">
        <v>35</v>
      </c>
      <c r="F65" t="s">
        <v>1542</v>
      </c>
      <c r="G65" t="s">
        <v>1543</v>
      </c>
      <c r="H65" t="s">
        <v>1544</v>
      </c>
      <c r="I65" t="s">
        <v>1545</v>
      </c>
      <c r="J65" t="s">
        <v>1546</v>
      </c>
      <c r="K65" t="s">
        <v>1547</v>
      </c>
      <c r="L65" t="s">
        <v>1548</v>
      </c>
      <c r="M65" t="s">
        <v>1549</v>
      </c>
      <c r="N65" t="s">
        <v>1550</v>
      </c>
      <c r="O65">
        <v>49497747</v>
      </c>
      <c r="P65">
        <v>88680914</v>
      </c>
      <c r="Q65" t="s">
        <v>1551</v>
      </c>
      <c r="R65">
        <v>11838</v>
      </c>
      <c r="S65">
        <v>8099</v>
      </c>
      <c r="T65">
        <v>6140</v>
      </c>
      <c r="U65">
        <v>4454</v>
      </c>
      <c r="V65">
        <v>2751</v>
      </c>
    </row>
    <row r="66" spans="1:22" x14ac:dyDescent="0.35">
      <c r="A66" s="1">
        <v>44256</v>
      </c>
      <c r="B66">
        <v>25101804</v>
      </c>
      <c r="C66">
        <v>657748</v>
      </c>
      <c r="D66" t="s">
        <v>48</v>
      </c>
      <c r="E66" t="s">
        <v>36</v>
      </c>
      <c r="F66" t="s">
        <v>1552</v>
      </c>
      <c r="G66" t="s">
        <v>1553</v>
      </c>
      <c r="H66" t="s">
        <v>1554</v>
      </c>
      <c r="I66" t="s">
        <v>1555</v>
      </c>
      <c r="J66" t="s">
        <v>1556</v>
      </c>
      <c r="K66" t="s">
        <v>1557</v>
      </c>
      <c r="L66" t="s">
        <v>1558</v>
      </c>
      <c r="M66" t="s">
        <v>1559</v>
      </c>
      <c r="N66" t="s">
        <v>1560</v>
      </c>
      <c r="O66">
        <v>91992871</v>
      </c>
      <c r="P66">
        <v>145546769</v>
      </c>
      <c r="Q66" t="s">
        <v>1561</v>
      </c>
      <c r="R66">
        <v>13288</v>
      </c>
      <c r="S66">
        <v>9259</v>
      </c>
      <c r="T66">
        <v>6982</v>
      </c>
      <c r="U66">
        <v>5161</v>
      </c>
      <c r="V66">
        <v>3203</v>
      </c>
    </row>
    <row r="67" spans="1:22" x14ac:dyDescent="0.35">
      <c r="A67" s="1">
        <v>44256</v>
      </c>
      <c r="B67">
        <v>25101804</v>
      </c>
      <c r="C67">
        <v>766209</v>
      </c>
      <c r="D67" t="s">
        <v>48</v>
      </c>
      <c r="E67" t="s">
        <v>37</v>
      </c>
      <c r="F67" t="s">
        <v>1562</v>
      </c>
      <c r="G67" t="s">
        <v>1563</v>
      </c>
      <c r="H67" t="s">
        <v>1564</v>
      </c>
      <c r="I67" t="s">
        <v>1565</v>
      </c>
      <c r="J67" t="s">
        <v>1566</v>
      </c>
      <c r="K67" t="s">
        <v>1567</v>
      </c>
      <c r="L67" t="s">
        <v>1568</v>
      </c>
      <c r="M67" t="s">
        <v>1569</v>
      </c>
      <c r="N67" t="s">
        <v>1570</v>
      </c>
      <c r="O67">
        <v>150798791</v>
      </c>
      <c r="P67">
        <v>202001537</v>
      </c>
      <c r="Q67" t="s">
        <v>1571</v>
      </c>
      <c r="R67">
        <v>10691</v>
      </c>
      <c r="S67">
        <v>7482</v>
      </c>
      <c r="T67">
        <v>5676</v>
      </c>
      <c r="U67">
        <v>4224</v>
      </c>
      <c r="V67">
        <v>2697</v>
      </c>
    </row>
    <row r="68" spans="1:22" x14ac:dyDescent="0.35">
      <c r="A68" s="1">
        <v>44256</v>
      </c>
      <c r="B68">
        <v>25101804</v>
      </c>
      <c r="C68">
        <v>1271742</v>
      </c>
      <c r="D68" t="s">
        <v>48</v>
      </c>
      <c r="E68" t="s">
        <v>38</v>
      </c>
      <c r="F68" t="s">
        <v>1572</v>
      </c>
      <c r="G68" t="s">
        <v>1573</v>
      </c>
      <c r="H68" t="s">
        <v>1574</v>
      </c>
      <c r="I68" t="s">
        <v>1575</v>
      </c>
      <c r="J68" t="s">
        <v>1576</v>
      </c>
      <c r="K68" t="s">
        <v>1577</v>
      </c>
      <c r="L68" t="s">
        <v>1578</v>
      </c>
      <c r="M68" t="s">
        <v>1579</v>
      </c>
      <c r="N68" t="s">
        <v>1580</v>
      </c>
      <c r="O68">
        <v>38925617</v>
      </c>
      <c r="P68">
        <v>122234754</v>
      </c>
      <c r="Q68" t="s">
        <v>1581</v>
      </c>
      <c r="R68">
        <v>142416</v>
      </c>
      <c r="S68">
        <v>94105</v>
      </c>
      <c r="T68">
        <v>69418</v>
      </c>
      <c r="U68">
        <v>43181</v>
      </c>
      <c r="V68">
        <v>23451</v>
      </c>
    </row>
    <row r="69" spans="1:22" x14ac:dyDescent="0.35">
      <c r="A69" s="1">
        <v>44256</v>
      </c>
      <c r="B69">
        <v>25101804</v>
      </c>
      <c r="C69">
        <v>642292</v>
      </c>
      <c r="D69" t="s">
        <v>48</v>
      </c>
      <c r="E69" t="s">
        <v>39</v>
      </c>
      <c r="F69" t="s">
        <v>1582</v>
      </c>
      <c r="G69" t="s">
        <v>1583</v>
      </c>
      <c r="H69" t="s">
        <v>1584</v>
      </c>
      <c r="I69" t="s">
        <v>1585</v>
      </c>
      <c r="J69" t="s">
        <v>1586</v>
      </c>
      <c r="K69" t="s">
        <v>1587</v>
      </c>
      <c r="L69" t="s">
        <v>1588</v>
      </c>
      <c r="M69" t="s">
        <v>1589</v>
      </c>
      <c r="N69" t="s">
        <v>1590</v>
      </c>
      <c r="O69">
        <v>188024524</v>
      </c>
      <c r="P69">
        <v>211882987</v>
      </c>
      <c r="Q69" t="s">
        <v>1591</v>
      </c>
      <c r="R69">
        <v>5659</v>
      </c>
      <c r="S69">
        <v>4102</v>
      </c>
      <c r="T69">
        <v>3156</v>
      </c>
      <c r="U69">
        <v>2385</v>
      </c>
      <c r="V69">
        <v>1574</v>
      </c>
    </row>
    <row r="70" spans="1:22" x14ac:dyDescent="0.35">
      <c r="A70" s="1">
        <v>44256</v>
      </c>
      <c r="B70">
        <v>25101804</v>
      </c>
      <c r="C70">
        <v>954551</v>
      </c>
      <c r="D70" t="s">
        <v>48</v>
      </c>
      <c r="E70" t="s">
        <v>40</v>
      </c>
      <c r="F70" t="s">
        <v>1592</v>
      </c>
      <c r="G70" t="s">
        <v>1593</v>
      </c>
      <c r="H70" t="s">
        <v>1594</v>
      </c>
      <c r="I70" t="s">
        <v>1595</v>
      </c>
      <c r="J70" t="s">
        <v>1596</v>
      </c>
      <c r="K70" t="s">
        <v>1597</v>
      </c>
      <c r="L70" t="s">
        <v>1598</v>
      </c>
      <c r="M70" t="s">
        <v>1599</v>
      </c>
      <c r="N70" t="s">
        <v>1600</v>
      </c>
      <c r="O70">
        <v>47455067</v>
      </c>
      <c r="P70">
        <v>121982134</v>
      </c>
      <c r="Q70" t="s">
        <v>1601</v>
      </c>
      <c r="R70">
        <v>60637</v>
      </c>
      <c r="S70">
        <v>40289</v>
      </c>
      <c r="T70">
        <v>30073</v>
      </c>
      <c r="U70">
        <v>20174</v>
      </c>
      <c r="V70">
        <v>11441</v>
      </c>
    </row>
    <row r="71" spans="1:22" x14ac:dyDescent="0.35">
      <c r="A71" s="1">
        <v>44256</v>
      </c>
      <c r="B71">
        <v>25101804</v>
      </c>
      <c r="C71">
        <v>730975</v>
      </c>
      <c r="D71" t="s">
        <v>48</v>
      </c>
      <c r="E71" t="s">
        <v>41</v>
      </c>
      <c r="F71" t="s">
        <v>1602</v>
      </c>
      <c r="G71" t="s">
        <v>1603</v>
      </c>
      <c r="H71" t="s">
        <v>1604</v>
      </c>
      <c r="I71" t="s">
        <v>1605</v>
      </c>
      <c r="J71" t="s">
        <v>1606</v>
      </c>
      <c r="K71" t="s">
        <v>1607</v>
      </c>
      <c r="L71" t="s">
        <v>1608</v>
      </c>
      <c r="M71" t="s">
        <v>1609</v>
      </c>
      <c r="N71" t="s">
        <v>1610</v>
      </c>
      <c r="O71">
        <v>50519602</v>
      </c>
      <c r="P71">
        <v>112630721</v>
      </c>
      <c r="Q71" t="s">
        <v>1611</v>
      </c>
      <c r="R71">
        <v>31785</v>
      </c>
      <c r="S71">
        <v>21384</v>
      </c>
      <c r="T71">
        <v>15980</v>
      </c>
      <c r="U71">
        <v>11139</v>
      </c>
      <c r="V71">
        <v>6529</v>
      </c>
    </row>
    <row r="72" spans="1:22" x14ac:dyDescent="0.35">
      <c r="A72" s="1">
        <v>44256</v>
      </c>
      <c r="B72">
        <v>25101804</v>
      </c>
      <c r="C72">
        <v>471944</v>
      </c>
      <c r="D72" t="s">
        <v>48</v>
      </c>
      <c r="E72" t="s">
        <v>42</v>
      </c>
      <c r="F72" t="s">
        <v>1612</v>
      </c>
      <c r="G72" t="s">
        <v>1613</v>
      </c>
      <c r="H72" t="s">
        <v>1614</v>
      </c>
      <c r="I72" t="s">
        <v>1615</v>
      </c>
      <c r="J72" t="s">
        <v>1616</v>
      </c>
      <c r="K72" t="s">
        <v>1617</v>
      </c>
      <c r="L72" t="s">
        <v>1618</v>
      </c>
      <c r="M72" t="s">
        <v>1619</v>
      </c>
      <c r="N72" t="s">
        <v>1620</v>
      </c>
      <c r="O72">
        <v>235563162</v>
      </c>
      <c r="P72">
        <v>221047471</v>
      </c>
      <c r="Q72" t="s">
        <v>1621</v>
      </c>
      <c r="R72">
        <v>2067</v>
      </c>
      <c r="S72">
        <v>1498</v>
      </c>
      <c r="T72">
        <v>1125</v>
      </c>
      <c r="U72">
        <v>882</v>
      </c>
      <c r="V72">
        <v>584</v>
      </c>
    </row>
    <row r="73" spans="1:22" x14ac:dyDescent="0.35">
      <c r="A73" s="1">
        <v>44256</v>
      </c>
      <c r="B73">
        <v>25101804</v>
      </c>
      <c r="C73">
        <v>16153</v>
      </c>
      <c r="D73" t="s">
        <v>48</v>
      </c>
      <c r="E73" t="s">
        <v>43</v>
      </c>
      <c r="F73" t="s">
        <v>1622</v>
      </c>
      <c r="G73" t="s">
        <v>1623</v>
      </c>
      <c r="H73" t="s">
        <v>1624</v>
      </c>
      <c r="I73" t="s">
        <v>1625</v>
      </c>
      <c r="J73" t="s">
        <v>1626</v>
      </c>
      <c r="K73" t="s">
        <v>1627</v>
      </c>
      <c r="L73" t="s">
        <v>1628</v>
      </c>
      <c r="M73" t="s">
        <v>1629</v>
      </c>
      <c r="N73" t="s">
        <v>1630</v>
      </c>
      <c r="O73">
        <v>152260</v>
      </c>
      <c r="P73">
        <v>418196</v>
      </c>
      <c r="Q73" t="s">
        <v>1631</v>
      </c>
      <c r="R73">
        <v>7211</v>
      </c>
      <c r="S73">
        <v>6062</v>
      </c>
      <c r="T73">
        <v>4819</v>
      </c>
      <c r="U73">
        <v>3127</v>
      </c>
      <c r="V73">
        <v>1978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BE9E-F450-4F3B-81DF-D9089DA084FE}">
  <dimension ref="A1:V73"/>
  <sheetViews>
    <sheetView workbookViewId="0">
      <selection activeCell="U4" sqref="U4"/>
    </sheetView>
  </sheetViews>
  <sheetFormatPr defaultRowHeight="14.5" x14ac:dyDescent="0.35"/>
  <cols>
    <col min="1" max="1" width="8.453125" bestFit="1" customWidth="1"/>
    <col min="2" max="2" width="9.36328125" bestFit="1" customWidth="1"/>
    <col min="3" max="3" width="8.36328125" bestFit="1" customWidth="1"/>
    <col min="4" max="4" width="13.26953125" bestFit="1" customWidth="1"/>
    <col min="5" max="5" width="18.453125" bestFit="1" customWidth="1"/>
    <col min="6" max="12" width="19.1796875" bestFit="1" customWidth="1"/>
    <col min="13" max="14" width="18.54296875" bestFit="1" customWidth="1"/>
    <col min="15" max="16" width="9.81640625" bestFit="1" customWidth="1"/>
    <col min="17" max="17" width="22.54296875" bestFit="1" customWidth="1"/>
    <col min="18" max="18" width="14.81640625" bestFit="1" customWidth="1"/>
    <col min="19" max="22" width="15.81640625" bestFit="1" customWidth="1"/>
  </cols>
  <sheetData>
    <row r="1" spans="1:22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</row>
    <row r="2" spans="1:22" x14ac:dyDescent="0.35">
      <c r="A2" s="1">
        <v>44287</v>
      </c>
      <c r="B2">
        <v>24866757</v>
      </c>
      <c r="C2">
        <v>3090305</v>
      </c>
      <c r="D2" t="s">
        <v>31</v>
      </c>
      <c r="E2" t="s">
        <v>32</v>
      </c>
      <c r="F2" t="s">
        <v>1632</v>
      </c>
      <c r="G2" t="s">
        <v>1633</v>
      </c>
      <c r="H2" t="s">
        <v>1634</v>
      </c>
      <c r="I2" t="s">
        <v>1635</v>
      </c>
      <c r="J2" t="s">
        <v>1636</v>
      </c>
      <c r="K2" t="s">
        <v>1637</v>
      </c>
      <c r="L2" t="s">
        <v>1638</v>
      </c>
      <c r="M2" t="s">
        <v>1639</v>
      </c>
      <c r="N2" t="s">
        <v>1640</v>
      </c>
      <c r="O2">
        <v>8870109</v>
      </c>
      <c r="P2">
        <v>15497069</v>
      </c>
      <c r="Q2" t="s">
        <v>1641</v>
      </c>
      <c r="R2">
        <v>2380917</v>
      </c>
      <c r="S2">
        <v>2167884</v>
      </c>
      <c r="T2">
        <v>2005323</v>
      </c>
      <c r="U2">
        <v>1423906</v>
      </c>
      <c r="V2">
        <v>0</v>
      </c>
    </row>
    <row r="3" spans="1:22" x14ac:dyDescent="0.35">
      <c r="A3" s="1">
        <v>44287</v>
      </c>
      <c r="B3">
        <v>24866757</v>
      </c>
      <c r="C3">
        <v>1215367</v>
      </c>
      <c r="D3" t="s">
        <v>31</v>
      </c>
      <c r="E3" t="s">
        <v>33</v>
      </c>
      <c r="F3" t="s">
        <v>1642</v>
      </c>
      <c r="G3" t="s">
        <v>1643</v>
      </c>
      <c r="H3" t="s">
        <v>1644</v>
      </c>
      <c r="I3" t="s">
        <v>1645</v>
      </c>
      <c r="J3" t="s">
        <v>1646</v>
      </c>
      <c r="K3" t="s">
        <v>1647</v>
      </c>
      <c r="L3" t="s">
        <v>1648</v>
      </c>
      <c r="M3" t="s">
        <v>1649</v>
      </c>
      <c r="N3" t="s">
        <v>1650</v>
      </c>
      <c r="O3">
        <v>15900098</v>
      </c>
      <c r="P3">
        <v>19684114</v>
      </c>
      <c r="Q3" t="s">
        <v>1651</v>
      </c>
      <c r="R3">
        <v>733711</v>
      </c>
      <c r="S3">
        <v>665007</v>
      </c>
      <c r="T3">
        <v>622559</v>
      </c>
      <c r="U3">
        <v>458784</v>
      </c>
      <c r="V3">
        <v>0</v>
      </c>
    </row>
    <row r="4" spans="1:22" x14ac:dyDescent="0.35">
      <c r="A4" s="1">
        <v>44287</v>
      </c>
      <c r="B4">
        <v>24866757</v>
      </c>
      <c r="C4">
        <v>73394</v>
      </c>
      <c r="D4" t="s">
        <v>31</v>
      </c>
      <c r="E4" t="s">
        <v>34</v>
      </c>
      <c r="F4" t="s">
        <v>1652</v>
      </c>
      <c r="G4" t="s">
        <v>1653</v>
      </c>
      <c r="H4" t="s">
        <v>1654</v>
      </c>
      <c r="I4" t="s">
        <v>1655</v>
      </c>
      <c r="J4" t="s">
        <v>1656</v>
      </c>
      <c r="K4" t="s">
        <v>1657</v>
      </c>
      <c r="L4" t="s">
        <v>1658</v>
      </c>
      <c r="M4" t="s">
        <v>1659</v>
      </c>
      <c r="N4" t="s">
        <v>1660</v>
      </c>
      <c r="O4">
        <v>7438607</v>
      </c>
      <c r="P4">
        <v>7502983</v>
      </c>
      <c r="Q4" t="s">
        <v>1661</v>
      </c>
      <c r="R4">
        <v>13852</v>
      </c>
      <c r="S4">
        <v>11847</v>
      </c>
      <c r="T4">
        <v>10552</v>
      </c>
      <c r="U4">
        <v>9172</v>
      </c>
      <c r="V4">
        <v>0</v>
      </c>
    </row>
    <row r="5" spans="1:22" x14ac:dyDescent="0.35">
      <c r="A5" s="1">
        <v>44287</v>
      </c>
      <c r="B5">
        <v>24866757</v>
      </c>
      <c r="C5">
        <v>46769</v>
      </c>
      <c r="D5" t="s">
        <v>31</v>
      </c>
      <c r="E5" t="s">
        <v>35</v>
      </c>
      <c r="F5" t="s">
        <v>1662</v>
      </c>
      <c r="G5" t="s">
        <v>1663</v>
      </c>
      <c r="H5" t="s">
        <v>1664</v>
      </c>
      <c r="I5" t="s">
        <v>1665</v>
      </c>
      <c r="J5" t="s">
        <v>1666</v>
      </c>
      <c r="K5" t="s">
        <v>1667</v>
      </c>
      <c r="L5" t="s">
        <v>1668</v>
      </c>
      <c r="M5" t="s">
        <v>1669</v>
      </c>
      <c r="N5" t="s">
        <v>1670</v>
      </c>
      <c r="O5">
        <v>5697010</v>
      </c>
      <c r="P5">
        <v>5528277</v>
      </c>
      <c r="Q5" t="s">
        <v>1671</v>
      </c>
      <c r="R5">
        <v>8109</v>
      </c>
      <c r="S5">
        <v>6933</v>
      </c>
      <c r="T5">
        <v>6240</v>
      </c>
      <c r="U5">
        <v>5432</v>
      </c>
      <c r="V5">
        <v>0</v>
      </c>
    </row>
    <row r="6" spans="1:22" x14ac:dyDescent="0.35">
      <c r="A6" s="1">
        <v>44287</v>
      </c>
      <c r="B6">
        <v>24866757</v>
      </c>
      <c r="C6">
        <v>52132</v>
      </c>
      <c r="D6" t="s">
        <v>31</v>
      </c>
      <c r="E6" t="s">
        <v>36</v>
      </c>
      <c r="F6" t="s">
        <v>1672</v>
      </c>
      <c r="G6" t="s">
        <v>1673</v>
      </c>
      <c r="H6" t="s">
        <v>1674</v>
      </c>
      <c r="I6" t="s">
        <v>1675</v>
      </c>
      <c r="J6" t="s">
        <v>1676</v>
      </c>
      <c r="K6" t="s">
        <v>1677</v>
      </c>
      <c r="L6" t="s">
        <v>1678</v>
      </c>
      <c r="M6" t="s">
        <v>1679</v>
      </c>
      <c r="N6" t="s">
        <v>1680</v>
      </c>
      <c r="O6">
        <v>7813642</v>
      </c>
      <c r="P6">
        <v>7085479</v>
      </c>
      <c r="Q6" t="s">
        <v>1681</v>
      </c>
      <c r="R6">
        <v>8012</v>
      </c>
      <c r="S6">
        <v>7004</v>
      </c>
      <c r="T6">
        <v>6343</v>
      </c>
      <c r="U6">
        <v>5485</v>
      </c>
      <c r="V6">
        <v>0</v>
      </c>
    </row>
    <row r="7" spans="1:22" x14ac:dyDescent="0.35">
      <c r="A7" s="1">
        <v>44287</v>
      </c>
      <c r="B7">
        <v>24866757</v>
      </c>
      <c r="C7">
        <v>42093</v>
      </c>
      <c r="D7" t="s">
        <v>31</v>
      </c>
      <c r="E7" t="s">
        <v>37</v>
      </c>
      <c r="F7" t="s">
        <v>1682</v>
      </c>
      <c r="G7" t="s">
        <v>1683</v>
      </c>
      <c r="H7" t="s">
        <v>1684</v>
      </c>
      <c r="I7" t="s">
        <v>1685</v>
      </c>
      <c r="J7" t="s">
        <v>1686</v>
      </c>
      <c r="K7" t="s">
        <v>1687</v>
      </c>
      <c r="L7" t="s">
        <v>1688</v>
      </c>
      <c r="M7" t="s">
        <v>1689</v>
      </c>
      <c r="N7" t="s">
        <v>1690</v>
      </c>
      <c r="O7">
        <v>8450159</v>
      </c>
      <c r="P7">
        <v>7112176</v>
      </c>
      <c r="Q7" t="s">
        <v>1691</v>
      </c>
      <c r="R7">
        <v>5710</v>
      </c>
      <c r="S7">
        <v>5052</v>
      </c>
      <c r="T7">
        <v>4589</v>
      </c>
      <c r="U7">
        <v>4099</v>
      </c>
      <c r="V7">
        <v>0</v>
      </c>
    </row>
    <row r="8" spans="1:22" x14ac:dyDescent="0.35">
      <c r="A8" s="1">
        <v>44287</v>
      </c>
      <c r="B8">
        <v>24866757</v>
      </c>
      <c r="C8">
        <v>549597</v>
      </c>
      <c r="D8" t="s">
        <v>31</v>
      </c>
      <c r="E8" t="s">
        <v>38</v>
      </c>
      <c r="F8" t="s">
        <v>1692</v>
      </c>
      <c r="G8" t="s">
        <v>1693</v>
      </c>
      <c r="H8" t="s">
        <v>1694</v>
      </c>
      <c r="I8" t="s">
        <v>1695</v>
      </c>
      <c r="J8" t="s">
        <v>1696</v>
      </c>
      <c r="K8" t="s">
        <v>1697</v>
      </c>
      <c r="L8" t="s">
        <v>1698</v>
      </c>
      <c r="M8" t="s">
        <v>1699</v>
      </c>
      <c r="N8" t="s">
        <v>1700</v>
      </c>
      <c r="O8">
        <v>18125096</v>
      </c>
      <c r="P8">
        <v>23814792</v>
      </c>
      <c r="Q8" t="s">
        <v>1701</v>
      </c>
      <c r="R8">
        <v>187261</v>
      </c>
      <c r="S8">
        <v>155617</v>
      </c>
      <c r="T8">
        <v>137538</v>
      </c>
      <c r="U8">
        <v>112226</v>
      </c>
      <c r="V8">
        <v>0</v>
      </c>
    </row>
    <row r="9" spans="1:22" x14ac:dyDescent="0.35">
      <c r="A9" s="1">
        <v>44287</v>
      </c>
      <c r="B9">
        <v>24866757</v>
      </c>
      <c r="C9">
        <v>22178</v>
      </c>
      <c r="D9" t="s">
        <v>31</v>
      </c>
      <c r="E9" t="s">
        <v>39</v>
      </c>
      <c r="F9" t="s">
        <v>1702</v>
      </c>
      <c r="G9" t="s">
        <v>1703</v>
      </c>
      <c r="H9" t="s">
        <v>1704</v>
      </c>
      <c r="I9" t="s">
        <v>1705</v>
      </c>
      <c r="J9" t="s">
        <v>1706</v>
      </c>
      <c r="K9" t="s">
        <v>1707</v>
      </c>
      <c r="L9" t="s">
        <v>1708</v>
      </c>
      <c r="M9" t="s">
        <v>1709</v>
      </c>
      <c r="N9" t="s">
        <v>1710</v>
      </c>
      <c r="O9">
        <v>6258158</v>
      </c>
      <c r="P9">
        <v>4898473</v>
      </c>
      <c r="Q9" t="s">
        <v>1711</v>
      </c>
      <c r="R9">
        <v>2380</v>
      </c>
      <c r="S9">
        <v>2089</v>
      </c>
      <c r="T9">
        <v>1899</v>
      </c>
      <c r="U9">
        <v>1685</v>
      </c>
      <c r="V9">
        <v>0</v>
      </c>
    </row>
    <row r="10" spans="1:22" x14ac:dyDescent="0.35">
      <c r="A10" s="1">
        <v>44287</v>
      </c>
      <c r="B10">
        <v>24866757</v>
      </c>
      <c r="C10">
        <v>242149</v>
      </c>
      <c r="D10" t="s">
        <v>31</v>
      </c>
      <c r="E10" t="s">
        <v>40</v>
      </c>
      <c r="F10" t="s">
        <v>1712</v>
      </c>
      <c r="G10" t="s">
        <v>1713</v>
      </c>
      <c r="H10" t="s">
        <v>1714</v>
      </c>
      <c r="I10" t="s">
        <v>1715</v>
      </c>
      <c r="J10" t="s">
        <v>1716</v>
      </c>
      <c r="K10" t="s">
        <v>1717</v>
      </c>
      <c r="L10" t="s">
        <v>1718</v>
      </c>
      <c r="M10" t="s">
        <v>1719</v>
      </c>
      <c r="N10" t="s">
        <v>1720</v>
      </c>
      <c r="O10">
        <v>13551559</v>
      </c>
      <c r="P10">
        <v>16095580</v>
      </c>
      <c r="Q10" t="s">
        <v>1721</v>
      </c>
      <c r="R10">
        <v>62330</v>
      </c>
      <c r="S10">
        <v>52100</v>
      </c>
      <c r="T10">
        <v>46308</v>
      </c>
      <c r="U10">
        <v>38927</v>
      </c>
      <c r="V10">
        <v>0</v>
      </c>
    </row>
    <row r="11" spans="1:22" x14ac:dyDescent="0.35">
      <c r="A11" s="1">
        <v>44287</v>
      </c>
      <c r="B11">
        <v>24866757</v>
      </c>
      <c r="C11">
        <v>126789</v>
      </c>
      <c r="D11" t="s">
        <v>31</v>
      </c>
      <c r="E11" t="s">
        <v>41</v>
      </c>
      <c r="F11" t="s">
        <v>1722</v>
      </c>
      <c r="G11" t="s">
        <v>1723</v>
      </c>
      <c r="H11" t="s">
        <v>1724</v>
      </c>
      <c r="I11" t="s">
        <v>1725</v>
      </c>
      <c r="J11" t="s">
        <v>1726</v>
      </c>
      <c r="K11" t="s">
        <v>1727</v>
      </c>
      <c r="L11" t="s">
        <v>1728</v>
      </c>
      <c r="M11" t="s">
        <v>1729</v>
      </c>
      <c r="N11" t="s">
        <v>1730</v>
      </c>
      <c r="O11">
        <v>10032947</v>
      </c>
      <c r="P11">
        <v>10896968</v>
      </c>
      <c r="Q11" t="s">
        <v>1731</v>
      </c>
      <c r="R11">
        <v>26877</v>
      </c>
      <c r="S11">
        <v>22688</v>
      </c>
      <c r="T11">
        <v>20115</v>
      </c>
      <c r="U11">
        <v>17187</v>
      </c>
      <c r="V11">
        <v>0</v>
      </c>
    </row>
    <row r="12" spans="1:22" x14ac:dyDescent="0.35">
      <c r="A12" s="1">
        <v>44287</v>
      </c>
      <c r="B12">
        <v>24866757</v>
      </c>
      <c r="C12">
        <v>9873</v>
      </c>
      <c r="D12" t="s">
        <v>31</v>
      </c>
      <c r="E12" t="s">
        <v>42</v>
      </c>
      <c r="F12" t="s">
        <v>1732</v>
      </c>
      <c r="G12" t="s">
        <v>1733</v>
      </c>
      <c r="H12" t="s">
        <v>1734</v>
      </c>
      <c r="I12" t="s">
        <v>1735</v>
      </c>
      <c r="J12" t="s">
        <v>1736</v>
      </c>
      <c r="K12" t="s">
        <v>1737</v>
      </c>
      <c r="L12" t="s">
        <v>1738</v>
      </c>
      <c r="M12" t="s">
        <v>1739</v>
      </c>
      <c r="N12" t="s">
        <v>1740</v>
      </c>
      <c r="O12">
        <v>4226322</v>
      </c>
      <c r="P12">
        <v>3467367</v>
      </c>
      <c r="Q12" t="s">
        <v>1741</v>
      </c>
      <c r="R12">
        <v>773</v>
      </c>
      <c r="S12">
        <v>693</v>
      </c>
      <c r="T12">
        <v>633</v>
      </c>
      <c r="U12">
        <v>527</v>
      </c>
      <c r="V12">
        <v>0</v>
      </c>
    </row>
    <row r="13" spans="1:22" x14ac:dyDescent="0.35">
      <c r="A13" s="1">
        <v>44287</v>
      </c>
      <c r="B13">
        <v>24866757</v>
      </c>
      <c r="C13">
        <v>86115</v>
      </c>
      <c r="D13" t="s">
        <v>31</v>
      </c>
      <c r="E13" t="s">
        <v>43</v>
      </c>
      <c r="F13" t="s">
        <v>1742</v>
      </c>
      <c r="G13" t="s">
        <v>1743</v>
      </c>
      <c r="H13" t="s">
        <v>1744</v>
      </c>
      <c r="I13" t="s">
        <v>1745</v>
      </c>
      <c r="J13" t="s">
        <v>1746</v>
      </c>
      <c r="K13" t="s">
        <v>1747</v>
      </c>
      <c r="L13" t="s">
        <v>1748</v>
      </c>
      <c r="M13" t="s">
        <v>1749</v>
      </c>
      <c r="N13" t="s">
        <v>1750</v>
      </c>
      <c r="O13">
        <v>316092</v>
      </c>
      <c r="P13">
        <v>145488</v>
      </c>
      <c r="Q13" t="s">
        <v>1751</v>
      </c>
      <c r="R13">
        <v>32476</v>
      </c>
      <c r="S13">
        <v>30620</v>
      </c>
      <c r="T13">
        <v>29186</v>
      </c>
      <c r="U13">
        <v>23082</v>
      </c>
      <c r="V13">
        <v>0</v>
      </c>
    </row>
    <row r="14" spans="1:22" x14ac:dyDescent="0.35">
      <c r="A14" s="1">
        <v>44287</v>
      </c>
      <c r="B14">
        <v>24866757</v>
      </c>
      <c r="C14">
        <v>1017304</v>
      </c>
      <c r="D14" t="s">
        <v>44</v>
      </c>
      <c r="E14" t="s">
        <v>32</v>
      </c>
      <c r="F14" t="s">
        <v>1752</v>
      </c>
      <c r="G14" t="s">
        <v>1753</v>
      </c>
      <c r="H14" t="s">
        <v>1754</v>
      </c>
      <c r="I14" t="s">
        <v>1755</v>
      </c>
      <c r="J14" t="s">
        <v>1756</v>
      </c>
      <c r="K14" t="s">
        <v>1757</v>
      </c>
      <c r="L14" t="s">
        <v>1758</v>
      </c>
      <c r="M14" t="s">
        <v>1759</v>
      </c>
      <c r="N14" t="s">
        <v>1760</v>
      </c>
      <c r="O14">
        <v>1349452</v>
      </c>
      <c r="P14">
        <v>14167995</v>
      </c>
      <c r="Q14" t="s">
        <v>1761</v>
      </c>
      <c r="R14">
        <v>732598</v>
      </c>
      <c r="S14">
        <v>607483</v>
      </c>
      <c r="T14">
        <v>490740</v>
      </c>
      <c r="U14">
        <v>273388</v>
      </c>
      <c r="V14">
        <v>0</v>
      </c>
    </row>
    <row r="15" spans="1:22" x14ac:dyDescent="0.35">
      <c r="A15" s="1">
        <v>44287</v>
      </c>
      <c r="B15">
        <v>24866757</v>
      </c>
      <c r="C15">
        <v>500796</v>
      </c>
      <c r="D15" t="s">
        <v>44</v>
      </c>
      <c r="E15" t="s">
        <v>33</v>
      </c>
      <c r="F15" t="s">
        <v>1762</v>
      </c>
      <c r="G15" t="s">
        <v>1763</v>
      </c>
      <c r="H15" t="s">
        <v>1764</v>
      </c>
      <c r="I15" t="s">
        <v>1765</v>
      </c>
      <c r="J15" t="s">
        <v>1766</v>
      </c>
      <c r="K15" t="s">
        <v>1767</v>
      </c>
      <c r="L15" t="s">
        <v>1768</v>
      </c>
      <c r="M15" t="s">
        <v>1769</v>
      </c>
      <c r="N15" t="s">
        <v>1770</v>
      </c>
      <c r="O15">
        <v>5202690</v>
      </c>
      <c r="P15">
        <v>17820885</v>
      </c>
      <c r="Q15" t="s">
        <v>1771</v>
      </c>
      <c r="R15">
        <v>216700</v>
      </c>
      <c r="S15">
        <v>158739</v>
      </c>
      <c r="T15">
        <v>124364</v>
      </c>
      <c r="U15">
        <v>80446</v>
      </c>
      <c r="V15">
        <v>0</v>
      </c>
    </row>
    <row r="16" spans="1:22" x14ac:dyDescent="0.35">
      <c r="A16" s="1">
        <v>44287</v>
      </c>
      <c r="B16">
        <v>24866757</v>
      </c>
      <c r="C16">
        <v>159191</v>
      </c>
      <c r="D16" t="s">
        <v>44</v>
      </c>
      <c r="E16" t="s">
        <v>34</v>
      </c>
      <c r="F16" t="s">
        <v>1772</v>
      </c>
      <c r="G16" t="s">
        <v>1773</v>
      </c>
      <c r="H16" t="s">
        <v>1774</v>
      </c>
      <c r="I16" t="s">
        <v>1775</v>
      </c>
      <c r="J16" t="s">
        <v>1776</v>
      </c>
      <c r="K16" t="s">
        <v>1777</v>
      </c>
      <c r="L16" t="s">
        <v>1778</v>
      </c>
      <c r="M16" t="s">
        <v>1779</v>
      </c>
      <c r="N16" t="s">
        <v>1780</v>
      </c>
      <c r="O16">
        <v>9138331</v>
      </c>
      <c r="P16">
        <v>19261425</v>
      </c>
      <c r="Q16" t="s">
        <v>1781</v>
      </c>
      <c r="R16">
        <v>15904</v>
      </c>
      <c r="S16">
        <v>11403</v>
      </c>
      <c r="T16">
        <v>9213</v>
      </c>
      <c r="U16">
        <v>7427</v>
      </c>
      <c r="V16">
        <v>0</v>
      </c>
    </row>
    <row r="17" spans="1:22" x14ac:dyDescent="0.35">
      <c r="A17" s="1">
        <v>44287</v>
      </c>
      <c r="B17">
        <v>24866757</v>
      </c>
      <c r="C17">
        <v>114969</v>
      </c>
      <c r="D17" t="s">
        <v>44</v>
      </c>
      <c r="E17" t="s">
        <v>35</v>
      </c>
      <c r="F17" t="s">
        <v>1782</v>
      </c>
      <c r="G17" t="s">
        <v>1783</v>
      </c>
      <c r="H17" t="s">
        <v>1784</v>
      </c>
      <c r="I17" t="s">
        <v>1785</v>
      </c>
      <c r="J17" t="s">
        <v>1786</v>
      </c>
      <c r="K17" t="s">
        <v>1787</v>
      </c>
      <c r="L17" t="s">
        <v>1788</v>
      </c>
      <c r="M17" t="s">
        <v>1789</v>
      </c>
      <c r="N17" t="s">
        <v>1790</v>
      </c>
      <c r="O17">
        <v>8168658</v>
      </c>
      <c r="P17">
        <v>15835326</v>
      </c>
      <c r="Q17" t="s">
        <v>1791</v>
      </c>
      <c r="R17">
        <v>9551</v>
      </c>
      <c r="S17">
        <v>6900</v>
      </c>
      <c r="T17">
        <v>5584</v>
      </c>
      <c r="U17">
        <v>4553</v>
      </c>
      <c r="V17">
        <v>0</v>
      </c>
    </row>
    <row r="18" spans="1:22" x14ac:dyDescent="0.35">
      <c r="A18" s="1">
        <v>44287</v>
      </c>
      <c r="B18">
        <v>24866757</v>
      </c>
      <c r="C18">
        <v>150190</v>
      </c>
      <c r="D18" t="s">
        <v>44</v>
      </c>
      <c r="E18" t="s">
        <v>36</v>
      </c>
      <c r="F18" t="s">
        <v>1792</v>
      </c>
      <c r="G18" t="s">
        <v>1793</v>
      </c>
      <c r="H18" t="s">
        <v>1794</v>
      </c>
      <c r="I18" t="s">
        <v>1795</v>
      </c>
      <c r="J18" t="s">
        <v>1796</v>
      </c>
      <c r="K18" t="s">
        <v>1797</v>
      </c>
      <c r="L18" t="s">
        <v>1798</v>
      </c>
      <c r="M18" t="s">
        <v>1799</v>
      </c>
      <c r="N18" t="s">
        <v>1800</v>
      </c>
      <c r="O18">
        <v>13888914</v>
      </c>
      <c r="P18">
        <v>23519433</v>
      </c>
      <c r="Q18" t="s">
        <v>1801</v>
      </c>
      <c r="R18">
        <v>9895</v>
      </c>
      <c r="S18">
        <v>7315</v>
      </c>
      <c r="T18">
        <v>5932</v>
      </c>
      <c r="U18">
        <v>4836</v>
      </c>
      <c r="V18">
        <v>0</v>
      </c>
    </row>
    <row r="19" spans="1:22" x14ac:dyDescent="0.35">
      <c r="A19" s="1">
        <v>44287</v>
      </c>
      <c r="B19">
        <v>24866757</v>
      </c>
      <c r="C19">
        <v>150227</v>
      </c>
      <c r="D19" t="s">
        <v>44</v>
      </c>
      <c r="E19" t="s">
        <v>37</v>
      </c>
      <c r="F19" t="s">
        <v>1802</v>
      </c>
      <c r="G19" t="s">
        <v>1803</v>
      </c>
      <c r="H19" t="s">
        <v>1804</v>
      </c>
      <c r="I19" t="s">
        <v>1805</v>
      </c>
      <c r="J19" t="s">
        <v>1806</v>
      </c>
      <c r="K19" t="s">
        <v>1807</v>
      </c>
      <c r="L19" t="s">
        <v>1808</v>
      </c>
      <c r="M19" t="s">
        <v>1809</v>
      </c>
      <c r="N19" t="s">
        <v>1810</v>
      </c>
      <c r="O19">
        <v>19550271</v>
      </c>
      <c r="P19">
        <v>28538172</v>
      </c>
      <c r="Q19" t="s">
        <v>1811</v>
      </c>
      <c r="R19">
        <v>7728</v>
      </c>
      <c r="S19">
        <v>5875</v>
      </c>
      <c r="T19">
        <v>4858</v>
      </c>
      <c r="U19">
        <v>4018</v>
      </c>
      <c r="V19">
        <v>0</v>
      </c>
    </row>
    <row r="20" spans="1:22" x14ac:dyDescent="0.35">
      <c r="A20" s="1">
        <v>44287</v>
      </c>
      <c r="B20">
        <v>24866757</v>
      </c>
      <c r="C20">
        <v>521608</v>
      </c>
      <c r="D20" t="s">
        <v>44</v>
      </c>
      <c r="E20" t="s">
        <v>38</v>
      </c>
      <c r="F20" t="s">
        <v>1812</v>
      </c>
      <c r="G20" t="s">
        <v>1813</v>
      </c>
      <c r="H20" t="s">
        <v>1814</v>
      </c>
      <c r="I20" t="s">
        <v>1815</v>
      </c>
      <c r="J20" t="s">
        <v>1816</v>
      </c>
      <c r="K20" t="s">
        <v>1817</v>
      </c>
      <c r="L20" t="s">
        <v>1818</v>
      </c>
      <c r="M20" t="s">
        <v>1819</v>
      </c>
      <c r="N20" t="s">
        <v>1820</v>
      </c>
      <c r="O20">
        <v>10610700</v>
      </c>
      <c r="P20">
        <v>30300711</v>
      </c>
      <c r="Q20" t="s">
        <v>1821</v>
      </c>
      <c r="R20">
        <v>138918</v>
      </c>
      <c r="S20">
        <v>97671</v>
      </c>
      <c r="T20">
        <v>76258</v>
      </c>
      <c r="U20">
        <v>55208</v>
      </c>
      <c r="V20">
        <v>0</v>
      </c>
    </row>
    <row r="21" spans="1:22" x14ac:dyDescent="0.35">
      <c r="A21" s="1">
        <v>44287</v>
      </c>
      <c r="B21">
        <v>24866757</v>
      </c>
      <c r="C21">
        <v>106478</v>
      </c>
      <c r="D21" t="s">
        <v>44</v>
      </c>
      <c r="E21" t="s">
        <v>39</v>
      </c>
      <c r="F21" t="s">
        <v>1822</v>
      </c>
      <c r="G21" t="s">
        <v>1823</v>
      </c>
      <c r="H21" t="s">
        <v>1824</v>
      </c>
      <c r="I21" t="s">
        <v>1825</v>
      </c>
      <c r="J21" t="s">
        <v>1826</v>
      </c>
      <c r="K21" t="s">
        <v>1827</v>
      </c>
      <c r="L21" t="s">
        <v>1828</v>
      </c>
      <c r="M21" t="s">
        <v>1829</v>
      </c>
      <c r="N21" t="s">
        <v>1830</v>
      </c>
      <c r="O21">
        <v>21824886</v>
      </c>
      <c r="P21">
        <v>25162753</v>
      </c>
      <c r="Q21" t="s">
        <v>1831</v>
      </c>
      <c r="R21">
        <v>3853</v>
      </c>
      <c r="S21">
        <v>2998</v>
      </c>
      <c r="T21">
        <v>2480</v>
      </c>
      <c r="U21">
        <v>2053</v>
      </c>
      <c r="V21">
        <v>0</v>
      </c>
    </row>
    <row r="22" spans="1:22" x14ac:dyDescent="0.35">
      <c r="A22" s="1">
        <v>44287</v>
      </c>
      <c r="B22">
        <v>24866757</v>
      </c>
      <c r="C22">
        <v>338584</v>
      </c>
      <c r="D22" t="s">
        <v>44</v>
      </c>
      <c r="E22" t="s">
        <v>40</v>
      </c>
      <c r="F22" t="s">
        <v>1832</v>
      </c>
      <c r="G22" t="s">
        <v>1833</v>
      </c>
      <c r="H22" t="s">
        <v>1834</v>
      </c>
      <c r="I22" t="s">
        <v>1835</v>
      </c>
      <c r="J22" t="s">
        <v>1836</v>
      </c>
      <c r="K22" t="s">
        <v>1837</v>
      </c>
      <c r="L22" t="s">
        <v>1838</v>
      </c>
      <c r="M22" t="s">
        <v>1839</v>
      </c>
      <c r="N22" t="s">
        <v>1840</v>
      </c>
      <c r="O22">
        <v>10793498</v>
      </c>
      <c r="P22">
        <v>27668959</v>
      </c>
      <c r="Q22" t="s">
        <v>1841</v>
      </c>
      <c r="R22">
        <v>57565</v>
      </c>
      <c r="S22">
        <v>40219</v>
      </c>
      <c r="T22">
        <v>31742</v>
      </c>
      <c r="U22">
        <v>24315</v>
      </c>
      <c r="V22">
        <v>0</v>
      </c>
    </row>
    <row r="23" spans="1:22" x14ac:dyDescent="0.35">
      <c r="A23" s="1">
        <v>44287</v>
      </c>
      <c r="B23">
        <v>24866757</v>
      </c>
      <c r="C23">
        <v>228550</v>
      </c>
      <c r="D23" t="s">
        <v>44</v>
      </c>
      <c r="E23" t="s">
        <v>41</v>
      </c>
      <c r="F23" t="s">
        <v>1842</v>
      </c>
      <c r="G23" t="s">
        <v>1843</v>
      </c>
      <c r="H23" t="s">
        <v>1844</v>
      </c>
      <c r="I23" t="s">
        <v>1845</v>
      </c>
      <c r="J23" t="s">
        <v>1846</v>
      </c>
      <c r="K23" t="s">
        <v>1847</v>
      </c>
      <c r="L23" t="s">
        <v>1848</v>
      </c>
      <c r="M23" t="s">
        <v>1849</v>
      </c>
      <c r="N23" t="s">
        <v>1850</v>
      </c>
      <c r="O23">
        <v>10122142</v>
      </c>
      <c r="P23">
        <v>23451465</v>
      </c>
      <c r="Q23" t="s">
        <v>1851</v>
      </c>
      <c r="R23">
        <v>28487</v>
      </c>
      <c r="S23">
        <v>20138</v>
      </c>
      <c r="T23">
        <v>16089</v>
      </c>
      <c r="U23">
        <v>12685</v>
      </c>
      <c r="V23">
        <v>0</v>
      </c>
    </row>
    <row r="24" spans="1:22" x14ac:dyDescent="0.35">
      <c r="A24" s="1">
        <v>44287</v>
      </c>
      <c r="B24">
        <v>24866757</v>
      </c>
      <c r="C24">
        <v>70335</v>
      </c>
      <c r="D24" t="s">
        <v>44</v>
      </c>
      <c r="E24" t="s">
        <v>42</v>
      </c>
      <c r="F24" t="s">
        <v>1852</v>
      </c>
      <c r="G24" t="s">
        <v>1853</v>
      </c>
      <c r="H24" t="s">
        <v>1854</v>
      </c>
      <c r="I24" t="s">
        <v>1855</v>
      </c>
      <c r="J24" t="s">
        <v>1856</v>
      </c>
      <c r="K24" t="s">
        <v>1857</v>
      </c>
      <c r="L24" t="s">
        <v>1858</v>
      </c>
      <c r="M24" t="s">
        <v>1859</v>
      </c>
      <c r="N24" t="s">
        <v>1860</v>
      </c>
      <c r="O24">
        <v>26615440</v>
      </c>
      <c r="P24">
        <v>23725783</v>
      </c>
      <c r="Q24" t="s">
        <v>1861</v>
      </c>
      <c r="R24">
        <v>1504</v>
      </c>
      <c r="S24">
        <v>1207</v>
      </c>
      <c r="T24">
        <v>1017</v>
      </c>
      <c r="U24">
        <v>872</v>
      </c>
      <c r="V24">
        <v>0</v>
      </c>
    </row>
    <row r="25" spans="1:22" x14ac:dyDescent="0.35">
      <c r="A25" s="1">
        <v>44287</v>
      </c>
      <c r="B25">
        <v>24866757</v>
      </c>
      <c r="C25">
        <v>21920</v>
      </c>
      <c r="D25" t="s">
        <v>44</v>
      </c>
      <c r="E25" t="s">
        <v>43</v>
      </c>
      <c r="F25" t="s">
        <v>1862</v>
      </c>
      <c r="G25" t="s">
        <v>1863</v>
      </c>
      <c r="H25" t="s">
        <v>1864</v>
      </c>
      <c r="I25" t="s">
        <v>1865</v>
      </c>
      <c r="J25" t="s">
        <v>1866</v>
      </c>
      <c r="K25" t="s">
        <v>1867</v>
      </c>
      <c r="L25" t="s">
        <v>1868</v>
      </c>
      <c r="M25" t="s">
        <v>1869</v>
      </c>
      <c r="N25" t="s">
        <v>1870</v>
      </c>
      <c r="O25">
        <v>38292</v>
      </c>
      <c r="P25">
        <v>86030</v>
      </c>
      <c r="Q25" t="s">
        <v>1871</v>
      </c>
      <c r="R25">
        <v>8466</v>
      </c>
      <c r="S25">
        <v>7585</v>
      </c>
      <c r="T25">
        <v>5428</v>
      </c>
      <c r="U25">
        <v>3943</v>
      </c>
      <c r="V25">
        <v>0</v>
      </c>
    </row>
    <row r="26" spans="1:22" x14ac:dyDescent="0.35">
      <c r="A26" s="1">
        <v>44287</v>
      </c>
      <c r="B26">
        <v>24866757</v>
      </c>
      <c r="C26">
        <v>1474701</v>
      </c>
      <c r="D26" t="s">
        <v>45</v>
      </c>
      <c r="E26" t="s">
        <v>32</v>
      </c>
      <c r="F26" t="s">
        <v>1872</v>
      </c>
      <c r="G26" t="s">
        <v>1873</v>
      </c>
      <c r="H26" t="s">
        <v>1874</v>
      </c>
      <c r="I26" t="s">
        <v>1875</v>
      </c>
      <c r="J26" t="s">
        <v>1876</v>
      </c>
      <c r="K26" t="s">
        <v>1877</v>
      </c>
      <c r="L26" t="s">
        <v>1878</v>
      </c>
      <c r="M26" t="s">
        <v>1879</v>
      </c>
      <c r="N26" t="s">
        <v>1880</v>
      </c>
      <c r="O26">
        <v>1560063</v>
      </c>
      <c r="P26">
        <v>7100129</v>
      </c>
      <c r="Q26" t="s">
        <v>1881</v>
      </c>
      <c r="R26">
        <v>1250835</v>
      </c>
      <c r="S26">
        <v>1126330</v>
      </c>
      <c r="T26">
        <v>911308</v>
      </c>
      <c r="U26">
        <v>426647</v>
      </c>
      <c r="V26">
        <v>0</v>
      </c>
    </row>
    <row r="27" spans="1:22" x14ac:dyDescent="0.35">
      <c r="A27" s="1">
        <v>44287</v>
      </c>
      <c r="B27">
        <v>24866757</v>
      </c>
      <c r="C27">
        <v>602256</v>
      </c>
      <c r="D27" t="s">
        <v>45</v>
      </c>
      <c r="E27" t="s">
        <v>33</v>
      </c>
      <c r="F27" t="s">
        <v>1882</v>
      </c>
      <c r="G27" t="s">
        <v>1883</v>
      </c>
      <c r="H27" t="s">
        <v>1884</v>
      </c>
      <c r="I27" t="s">
        <v>1885</v>
      </c>
      <c r="J27" t="s">
        <v>1886</v>
      </c>
      <c r="K27" t="s">
        <v>1887</v>
      </c>
      <c r="L27" t="s">
        <v>1888</v>
      </c>
      <c r="M27" t="s">
        <v>1889</v>
      </c>
      <c r="N27" t="s">
        <v>1890</v>
      </c>
      <c r="O27">
        <v>4618987</v>
      </c>
      <c r="P27">
        <v>10424068</v>
      </c>
      <c r="Q27" t="s">
        <v>1891</v>
      </c>
      <c r="R27">
        <v>373862</v>
      </c>
      <c r="S27">
        <v>313215</v>
      </c>
      <c r="T27">
        <v>272592</v>
      </c>
      <c r="U27">
        <v>163178</v>
      </c>
      <c r="V27">
        <v>0</v>
      </c>
    </row>
    <row r="28" spans="1:22" x14ac:dyDescent="0.35">
      <c r="A28" s="1">
        <v>44287</v>
      </c>
      <c r="B28">
        <v>24866757</v>
      </c>
      <c r="C28">
        <v>115686</v>
      </c>
      <c r="D28" t="s">
        <v>45</v>
      </c>
      <c r="E28" t="s">
        <v>34</v>
      </c>
      <c r="F28" t="s">
        <v>1892</v>
      </c>
      <c r="G28" t="s">
        <v>1893</v>
      </c>
      <c r="H28" t="s">
        <v>1894</v>
      </c>
      <c r="I28" t="s">
        <v>1895</v>
      </c>
      <c r="J28" t="s">
        <v>1896</v>
      </c>
      <c r="K28" t="s">
        <v>1897</v>
      </c>
      <c r="L28" t="s">
        <v>1898</v>
      </c>
      <c r="M28" t="s">
        <v>1899</v>
      </c>
      <c r="N28" t="s">
        <v>1900</v>
      </c>
      <c r="O28">
        <v>7063285</v>
      </c>
      <c r="P28">
        <v>10011082</v>
      </c>
      <c r="Q28" t="s">
        <v>1901</v>
      </c>
      <c r="R28">
        <v>24554</v>
      </c>
      <c r="S28">
        <v>19981</v>
      </c>
      <c r="T28">
        <v>17441</v>
      </c>
      <c r="U28">
        <v>14126</v>
      </c>
      <c r="V28">
        <v>0</v>
      </c>
    </row>
    <row r="29" spans="1:22" x14ac:dyDescent="0.35">
      <c r="A29" s="1">
        <v>44287</v>
      </c>
      <c r="B29">
        <v>24866757</v>
      </c>
      <c r="C29">
        <v>79711</v>
      </c>
      <c r="D29" t="s">
        <v>45</v>
      </c>
      <c r="E29" t="s">
        <v>35</v>
      </c>
      <c r="F29" t="s">
        <v>1902</v>
      </c>
      <c r="G29" t="s">
        <v>1903</v>
      </c>
      <c r="H29" t="s">
        <v>1904</v>
      </c>
      <c r="I29" t="s">
        <v>1905</v>
      </c>
      <c r="J29" t="s">
        <v>1906</v>
      </c>
      <c r="K29" t="s">
        <v>1907</v>
      </c>
      <c r="L29" t="s">
        <v>1908</v>
      </c>
      <c r="M29" t="s">
        <v>1909</v>
      </c>
      <c r="N29" t="s">
        <v>1910</v>
      </c>
      <c r="O29">
        <v>6047404</v>
      </c>
      <c r="P29">
        <v>7835341</v>
      </c>
      <c r="Q29" t="s">
        <v>1911</v>
      </c>
      <c r="R29">
        <v>15099</v>
      </c>
      <c r="S29">
        <v>12462</v>
      </c>
      <c r="T29">
        <v>10969</v>
      </c>
      <c r="U29">
        <v>9019</v>
      </c>
      <c r="V29">
        <v>0</v>
      </c>
    </row>
    <row r="30" spans="1:22" x14ac:dyDescent="0.35">
      <c r="A30" s="1">
        <v>44287</v>
      </c>
      <c r="B30">
        <v>24866757</v>
      </c>
      <c r="C30">
        <v>97170</v>
      </c>
      <c r="D30" t="s">
        <v>45</v>
      </c>
      <c r="E30" t="s">
        <v>36</v>
      </c>
      <c r="F30" t="s">
        <v>1912</v>
      </c>
      <c r="G30" t="s">
        <v>1913</v>
      </c>
      <c r="H30" t="s">
        <v>1914</v>
      </c>
      <c r="I30" t="s">
        <v>1915</v>
      </c>
      <c r="J30" t="s">
        <v>1916</v>
      </c>
      <c r="K30" t="s">
        <v>1917</v>
      </c>
      <c r="L30" t="s">
        <v>1918</v>
      </c>
      <c r="M30" t="s">
        <v>1919</v>
      </c>
      <c r="N30" t="s">
        <v>1920</v>
      </c>
      <c r="O30">
        <v>9618840</v>
      </c>
      <c r="P30">
        <v>11277943</v>
      </c>
      <c r="Q30" t="s">
        <v>1921</v>
      </c>
      <c r="R30">
        <v>16121</v>
      </c>
      <c r="S30">
        <v>13364</v>
      </c>
      <c r="T30">
        <v>11801</v>
      </c>
      <c r="U30">
        <v>9728</v>
      </c>
      <c r="V30">
        <v>0</v>
      </c>
    </row>
    <row r="31" spans="1:22" x14ac:dyDescent="0.35">
      <c r="A31" s="1">
        <v>44287</v>
      </c>
      <c r="B31">
        <v>24866757</v>
      </c>
      <c r="C31">
        <v>86998</v>
      </c>
      <c r="D31" t="s">
        <v>45</v>
      </c>
      <c r="E31" t="s">
        <v>37</v>
      </c>
      <c r="F31" t="s">
        <v>1922</v>
      </c>
      <c r="G31" t="s">
        <v>1923</v>
      </c>
      <c r="H31" t="s">
        <v>1924</v>
      </c>
      <c r="I31" t="s">
        <v>1925</v>
      </c>
      <c r="J31" t="s">
        <v>1926</v>
      </c>
      <c r="K31" t="s">
        <v>1927</v>
      </c>
      <c r="L31" t="s">
        <v>1928</v>
      </c>
      <c r="M31" t="s">
        <v>1929</v>
      </c>
      <c r="N31" t="s">
        <v>1930</v>
      </c>
      <c r="O31">
        <v>12240452</v>
      </c>
      <c r="P31">
        <v>12507931</v>
      </c>
      <c r="Q31" t="s">
        <v>1931</v>
      </c>
      <c r="R31">
        <v>11571</v>
      </c>
      <c r="S31">
        <v>9579</v>
      </c>
      <c r="T31">
        <v>8526</v>
      </c>
      <c r="U31">
        <v>7154</v>
      </c>
      <c r="V31">
        <v>0</v>
      </c>
    </row>
    <row r="32" spans="1:22" x14ac:dyDescent="0.35">
      <c r="A32" s="1">
        <v>44287</v>
      </c>
      <c r="B32">
        <v>24866757</v>
      </c>
      <c r="C32">
        <v>506995</v>
      </c>
      <c r="D32" t="s">
        <v>45</v>
      </c>
      <c r="E32" t="s">
        <v>38</v>
      </c>
      <c r="F32" t="s">
        <v>1932</v>
      </c>
      <c r="G32" t="s">
        <v>1933</v>
      </c>
      <c r="H32" t="s">
        <v>1934</v>
      </c>
      <c r="I32" t="s">
        <v>1935</v>
      </c>
      <c r="J32" t="s">
        <v>1936</v>
      </c>
      <c r="K32" t="s">
        <v>1937</v>
      </c>
      <c r="L32" t="s">
        <v>1938</v>
      </c>
      <c r="M32" t="s">
        <v>1939</v>
      </c>
      <c r="N32" t="s">
        <v>1940</v>
      </c>
      <c r="O32">
        <v>8870306</v>
      </c>
      <c r="P32">
        <v>17505308</v>
      </c>
      <c r="Q32" t="s">
        <v>1941</v>
      </c>
      <c r="R32">
        <v>221992</v>
      </c>
      <c r="S32">
        <v>179222</v>
      </c>
      <c r="T32">
        <v>154132</v>
      </c>
      <c r="U32">
        <v>110348</v>
      </c>
      <c r="V32">
        <v>0</v>
      </c>
    </row>
    <row r="33" spans="1:22" x14ac:dyDescent="0.35">
      <c r="A33" s="1">
        <v>44287</v>
      </c>
      <c r="B33">
        <v>24866757</v>
      </c>
      <c r="C33">
        <v>53853</v>
      </c>
      <c r="D33" t="s">
        <v>45</v>
      </c>
      <c r="E33" t="s">
        <v>39</v>
      </c>
      <c r="F33" t="s">
        <v>1942</v>
      </c>
      <c r="G33" t="s">
        <v>1943</v>
      </c>
      <c r="H33" t="s">
        <v>1944</v>
      </c>
      <c r="I33" t="s">
        <v>1945</v>
      </c>
      <c r="J33" t="s">
        <v>1946</v>
      </c>
      <c r="K33" t="s">
        <v>1947</v>
      </c>
      <c r="L33" t="s">
        <v>1948</v>
      </c>
      <c r="M33" t="s">
        <v>1949</v>
      </c>
      <c r="N33" t="s">
        <v>1950</v>
      </c>
      <c r="O33">
        <v>11580304</v>
      </c>
      <c r="P33">
        <v>10260812</v>
      </c>
      <c r="Q33" t="s">
        <v>1951</v>
      </c>
      <c r="R33">
        <v>5680</v>
      </c>
      <c r="S33">
        <v>4839</v>
      </c>
      <c r="T33">
        <v>4329</v>
      </c>
      <c r="U33">
        <v>3721</v>
      </c>
      <c r="V33">
        <v>0</v>
      </c>
    </row>
    <row r="34" spans="1:22" x14ac:dyDescent="0.35">
      <c r="A34" s="1">
        <v>44287</v>
      </c>
      <c r="B34">
        <v>24866757</v>
      </c>
      <c r="C34">
        <v>286587</v>
      </c>
      <c r="D34" t="s">
        <v>45</v>
      </c>
      <c r="E34" t="s">
        <v>40</v>
      </c>
      <c r="F34" t="s">
        <v>1952</v>
      </c>
      <c r="G34" t="s">
        <v>1953</v>
      </c>
      <c r="H34" t="s">
        <v>1954</v>
      </c>
      <c r="I34" t="s">
        <v>1955</v>
      </c>
      <c r="J34" t="s">
        <v>1956</v>
      </c>
      <c r="K34" t="s">
        <v>1957</v>
      </c>
      <c r="L34" t="s">
        <v>1958</v>
      </c>
      <c r="M34" t="s">
        <v>1959</v>
      </c>
      <c r="N34" t="s">
        <v>1960</v>
      </c>
      <c r="O34">
        <v>8825708</v>
      </c>
      <c r="P34">
        <v>15549738</v>
      </c>
      <c r="Q34" t="s">
        <v>1961</v>
      </c>
      <c r="R34">
        <v>90597</v>
      </c>
      <c r="S34">
        <v>72871</v>
      </c>
      <c r="T34">
        <v>63145</v>
      </c>
      <c r="U34">
        <v>48502</v>
      </c>
      <c r="V34">
        <v>0</v>
      </c>
    </row>
    <row r="35" spans="1:22" x14ac:dyDescent="0.35">
      <c r="A35" s="1">
        <v>44287</v>
      </c>
      <c r="B35">
        <v>24866757</v>
      </c>
      <c r="C35">
        <v>176363</v>
      </c>
      <c r="D35" t="s">
        <v>45</v>
      </c>
      <c r="E35" t="s">
        <v>41</v>
      </c>
      <c r="F35" t="s">
        <v>1962</v>
      </c>
      <c r="G35" t="s">
        <v>1963</v>
      </c>
      <c r="H35" t="s">
        <v>1964</v>
      </c>
      <c r="I35" t="s">
        <v>1965</v>
      </c>
      <c r="J35" t="s">
        <v>1966</v>
      </c>
      <c r="K35" t="s">
        <v>1967</v>
      </c>
      <c r="L35" t="s">
        <v>1968</v>
      </c>
      <c r="M35" t="s">
        <v>1969</v>
      </c>
      <c r="N35" t="s">
        <v>1970</v>
      </c>
      <c r="O35">
        <v>7969888</v>
      </c>
      <c r="P35">
        <v>12571976</v>
      </c>
      <c r="Q35" t="s">
        <v>1971</v>
      </c>
      <c r="R35">
        <v>44642</v>
      </c>
      <c r="S35">
        <v>36145</v>
      </c>
      <c r="T35">
        <v>31455</v>
      </c>
      <c r="U35">
        <v>25025</v>
      </c>
      <c r="V35">
        <v>0</v>
      </c>
    </row>
    <row r="36" spans="1:22" x14ac:dyDescent="0.35">
      <c r="A36" s="1">
        <v>44287</v>
      </c>
      <c r="B36">
        <v>24866757</v>
      </c>
      <c r="C36">
        <v>28759</v>
      </c>
      <c r="D36" t="s">
        <v>45</v>
      </c>
      <c r="E36" t="s">
        <v>42</v>
      </c>
      <c r="F36" t="s">
        <v>1972</v>
      </c>
      <c r="G36" t="s">
        <v>1973</v>
      </c>
      <c r="H36" t="s">
        <v>1974</v>
      </c>
      <c r="I36" t="s">
        <v>1975</v>
      </c>
      <c r="J36" t="s">
        <v>1976</v>
      </c>
      <c r="K36" t="s">
        <v>1977</v>
      </c>
      <c r="L36" t="s">
        <v>1978</v>
      </c>
      <c r="M36" t="s">
        <v>1979</v>
      </c>
      <c r="N36" t="s">
        <v>1980</v>
      </c>
      <c r="O36">
        <v>10950153</v>
      </c>
      <c r="P36">
        <v>8997638</v>
      </c>
      <c r="Q36" t="s">
        <v>1981</v>
      </c>
      <c r="R36">
        <v>1986</v>
      </c>
      <c r="S36">
        <v>1743</v>
      </c>
      <c r="T36">
        <v>1544</v>
      </c>
      <c r="U36">
        <v>1339</v>
      </c>
      <c r="V36">
        <v>0</v>
      </c>
    </row>
    <row r="37" spans="1:22" x14ac:dyDescent="0.35">
      <c r="A37" s="1">
        <v>44287</v>
      </c>
      <c r="B37">
        <v>24866757</v>
      </c>
      <c r="C37">
        <v>23910</v>
      </c>
      <c r="D37" t="s">
        <v>45</v>
      </c>
      <c r="E37" t="s">
        <v>43</v>
      </c>
      <c r="F37" t="s">
        <v>1982</v>
      </c>
      <c r="G37" t="s">
        <v>1983</v>
      </c>
      <c r="H37" t="s">
        <v>1984</v>
      </c>
      <c r="I37" t="s">
        <v>1985</v>
      </c>
      <c r="J37" t="s">
        <v>1986</v>
      </c>
      <c r="K37" t="s">
        <v>1987</v>
      </c>
      <c r="L37" t="s">
        <v>1988</v>
      </c>
      <c r="M37" t="s">
        <v>1989</v>
      </c>
      <c r="N37" t="s">
        <v>1990</v>
      </c>
      <c r="O37">
        <v>88085</v>
      </c>
      <c r="P37">
        <v>159707</v>
      </c>
      <c r="Q37" t="s">
        <v>1991</v>
      </c>
      <c r="R37">
        <v>14063</v>
      </c>
      <c r="S37">
        <v>13036</v>
      </c>
      <c r="T37">
        <v>9402</v>
      </c>
      <c r="U37">
        <v>5501</v>
      </c>
      <c r="V37">
        <v>0</v>
      </c>
    </row>
    <row r="38" spans="1:22" x14ac:dyDescent="0.35">
      <c r="A38" s="1">
        <v>44287</v>
      </c>
      <c r="B38">
        <v>24866757</v>
      </c>
      <c r="C38">
        <v>776301</v>
      </c>
      <c r="D38" t="s">
        <v>46</v>
      </c>
      <c r="E38" t="s">
        <v>32</v>
      </c>
      <c r="F38" t="s">
        <v>1992</v>
      </c>
      <c r="G38" t="s">
        <v>1993</v>
      </c>
      <c r="H38" t="s">
        <v>1994</v>
      </c>
      <c r="I38" t="s">
        <v>1995</v>
      </c>
      <c r="J38" t="s">
        <v>1996</v>
      </c>
      <c r="K38" t="s">
        <v>1997</v>
      </c>
      <c r="L38" t="s">
        <v>1998</v>
      </c>
      <c r="M38" t="s">
        <v>1999</v>
      </c>
      <c r="N38" t="s">
        <v>2000</v>
      </c>
      <c r="O38">
        <v>937889</v>
      </c>
      <c r="P38">
        <v>9023467</v>
      </c>
      <c r="Q38" t="s">
        <v>2001</v>
      </c>
      <c r="R38">
        <v>609179</v>
      </c>
      <c r="S38">
        <v>527017</v>
      </c>
      <c r="T38">
        <v>439677</v>
      </c>
      <c r="U38">
        <v>232582</v>
      </c>
      <c r="V38">
        <v>0</v>
      </c>
    </row>
    <row r="39" spans="1:22" x14ac:dyDescent="0.35">
      <c r="A39" s="1">
        <v>44287</v>
      </c>
      <c r="B39">
        <v>24866757</v>
      </c>
      <c r="C39">
        <v>329398</v>
      </c>
      <c r="D39" t="s">
        <v>46</v>
      </c>
      <c r="E39" t="s">
        <v>33</v>
      </c>
      <c r="F39" t="s">
        <v>2002</v>
      </c>
      <c r="G39" t="s">
        <v>2003</v>
      </c>
      <c r="H39" t="s">
        <v>2004</v>
      </c>
      <c r="I39" t="s">
        <v>2005</v>
      </c>
      <c r="J39" t="s">
        <v>2006</v>
      </c>
      <c r="K39" t="s">
        <v>2007</v>
      </c>
      <c r="L39" t="s">
        <v>2008</v>
      </c>
      <c r="M39" t="s">
        <v>2009</v>
      </c>
      <c r="N39" t="s">
        <v>2010</v>
      </c>
      <c r="O39">
        <v>3094509</v>
      </c>
      <c r="P39">
        <v>7804099</v>
      </c>
      <c r="Q39" t="s">
        <v>2011</v>
      </c>
      <c r="R39">
        <v>180957</v>
      </c>
      <c r="S39">
        <v>143365</v>
      </c>
      <c r="T39">
        <v>119545</v>
      </c>
      <c r="U39">
        <v>77916</v>
      </c>
      <c r="V39">
        <v>0</v>
      </c>
    </row>
    <row r="40" spans="1:22" x14ac:dyDescent="0.35">
      <c r="A40" s="1">
        <v>44287</v>
      </c>
      <c r="B40">
        <v>24866757</v>
      </c>
      <c r="C40">
        <v>72117</v>
      </c>
      <c r="D40" t="s">
        <v>46</v>
      </c>
      <c r="E40" t="s">
        <v>34</v>
      </c>
      <c r="F40" t="s">
        <v>2012</v>
      </c>
      <c r="G40" t="s">
        <v>2013</v>
      </c>
      <c r="H40" t="s">
        <v>2014</v>
      </c>
      <c r="I40" t="s">
        <v>2015</v>
      </c>
      <c r="J40" t="s">
        <v>2016</v>
      </c>
      <c r="K40" t="s">
        <v>2017</v>
      </c>
      <c r="L40" t="s">
        <v>2018</v>
      </c>
      <c r="M40" t="s">
        <v>2019</v>
      </c>
      <c r="N40" t="s">
        <v>2020</v>
      </c>
      <c r="O40">
        <v>4889822</v>
      </c>
      <c r="P40">
        <v>7275672</v>
      </c>
      <c r="Q40" t="s">
        <v>2021</v>
      </c>
      <c r="R40">
        <v>11717</v>
      </c>
      <c r="S40">
        <v>9136</v>
      </c>
      <c r="T40">
        <v>7747</v>
      </c>
      <c r="U40">
        <v>6435</v>
      </c>
      <c r="V40">
        <v>0</v>
      </c>
    </row>
    <row r="41" spans="1:22" x14ac:dyDescent="0.35">
      <c r="A41" s="1">
        <v>44287</v>
      </c>
      <c r="B41">
        <v>24866757</v>
      </c>
      <c r="C41">
        <v>50018</v>
      </c>
      <c r="D41" t="s">
        <v>46</v>
      </c>
      <c r="E41" t="s">
        <v>35</v>
      </c>
      <c r="F41" t="s">
        <v>2022</v>
      </c>
      <c r="G41" t="s">
        <v>2023</v>
      </c>
      <c r="H41" t="s">
        <v>2024</v>
      </c>
      <c r="I41" t="s">
        <v>2025</v>
      </c>
      <c r="J41" t="s">
        <v>2026</v>
      </c>
      <c r="K41" t="s">
        <v>2027</v>
      </c>
      <c r="L41" t="s">
        <v>2028</v>
      </c>
      <c r="M41" t="s">
        <v>2029</v>
      </c>
      <c r="N41" t="s">
        <v>2030</v>
      </c>
      <c r="O41">
        <v>4377414</v>
      </c>
      <c r="P41">
        <v>5849610</v>
      </c>
      <c r="Q41" t="s">
        <v>2031</v>
      </c>
      <c r="R41">
        <v>7102</v>
      </c>
      <c r="S41">
        <v>5592</v>
      </c>
      <c r="T41">
        <v>4752</v>
      </c>
      <c r="U41">
        <v>3953</v>
      </c>
      <c r="V41">
        <v>0</v>
      </c>
    </row>
    <row r="42" spans="1:22" x14ac:dyDescent="0.35">
      <c r="A42" s="1">
        <v>44287</v>
      </c>
      <c r="B42">
        <v>24866757</v>
      </c>
      <c r="C42">
        <v>61813</v>
      </c>
      <c r="D42" t="s">
        <v>46</v>
      </c>
      <c r="E42" t="s">
        <v>36</v>
      </c>
      <c r="F42" t="s">
        <v>2032</v>
      </c>
      <c r="G42" t="s">
        <v>2033</v>
      </c>
      <c r="H42" t="s">
        <v>2034</v>
      </c>
      <c r="I42" t="s">
        <v>2035</v>
      </c>
      <c r="J42" t="s">
        <v>2036</v>
      </c>
      <c r="K42" t="s">
        <v>2037</v>
      </c>
      <c r="L42" t="s">
        <v>2038</v>
      </c>
      <c r="M42" t="s">
        <v>2039</v>
      </c>
      <c r="N42" t="s">
        <v>2040</v>
      </c>
      <c r="O42">
        <v>6912120</v>
      </c>
      <c r="P42">
        <v>8277900</v>
      </c>
      <c r="Q42" t="s">
        <v>2041</v>
      </c>
      <c r="R42">
        <v>7432</v>
      </c>
      <c r="S42">
        <v>5853</v>
      </c>
      <c r="T42">
        <v>5006</v>
      </c>
      <c r="U42">
        <v>4216</v>
      </c>
      <c r="V42">
        <v>0</v>
      </c>
    </row>
    <row r="43" spans="1:22" x14ac:dyDescent="0.35">
      <c r="A43" s="1">
        <v>44287</v>
      </c>
      <c r="B43">
        <v>24866757</v>
      </c>
      <c r="C43">
        <v>58043</v>
      </c>
      <c r="D43" t="s">
        <v>46</v>
      </c>
      <c r="E43" t="s">
        <v>37</v>
      </c>
      <c r="F43" t="s">
        <v>2042</v>
      </c>
      <c r="G43" t="s">
        <v>2043</v>
      </c>
      <c r="H43" t="s">
        <v>2044</v>
      </c>
      <c r="I43" t="s">
        <v>2045</v>
      </c>
      <c r="J43" t="s">
        <v>2046</v>
      </c>
      <c r="K43" t="s">
        <v>2047</v>
      </c>
      <c r="L43" t="s">
        <v>2048</v>
      </c>
      <c r="M43" t="s">
        <v>2049</v>
      </c>
      <c r="N43" t="s">
        <v>2050</v>
      </c>
      <c r="O43">
        <v>9149596</v>
      </c>
      <c r="P43">
        <v>9570144</v>
      </c>
      <c r="Q43" t="s">
        <v>2051</v>
      </c>
      <c r="R43">
        <v>5596</v>
      </c>
      <c r="S43">
        <v>4471</v>
      </c>
      <c r="T43">
        <v>3854</v>
      </c>
      <c r="U43">
        <v>3291</v>
      </c>
      <c r="V43">
        <v>0</v>
      </c>
    </row>
    <row r="44" spans="1:22" x14ac:dyDescent="0.35">
      <c r="A44" s="1">
        <v>44287</v>
      </c>
      <c r="B44">
        <v>24866757</v>
      </c>
      <c r="C44">
        <v>300874</v>
      </c>
      <c r="D44" t="s">
        <v>46</v>
      </c>
      <c r="E44" t="s">
        <v>38</v>
      </c>
      <c r="F44" t="s">
        <v>2052</v>
      </c>
      <c r="G44" t="s">
        <v>2053</v>
      </c>
      <c r="H44" t="s">
        <v>2054</v>
      </c>
      <c r="I44" t="s">
        <v>2055</v>
      </c>
      <c r="J44" t="s">
        <v>2056</v>
      </c>
      <c r="K44" t="s">
        <v>2057</v>
      </c>
      <c r="L44" t="s">
        <v>2058</v>
      </c>
      <c r="M44" t="s">
        <v>2059</v>
      </c>
      <c r="N44" t="s">
        <v>2060</v>
      </c>
      <c r="O44">
        <v>5988458</v>
      </c>
      <c r="P44">
        <v>12975093</v>
      </c>
      <c r="Q44" t="s">
        <v>2061</v>
      </c>
      <c r="R44">
        <v>112114</v>
      </c>
      <c r="S44">
        <v>85589</v>
      </c>
      <c r="T44">
        <v>71186</v>
      </c>
      <c r="U44">
        <v>52647</v>
      </c>
      <c r="V44">
        <v>0</v>
      </c>
    </row>
    <row r="45" spans="1:22" x14ac:dyDescent="0.35">
      <c r="A45" s="1">
        <v>44287</v>
      </c>
      <c r="B45">
        <v>24866757</v>
      </c>
      <c r="C45">
        <v>37098</v>
      </c>
      <c r="D45" t="s">
        <v>46</v>
      </c>
      <c r="E45" t="s">
        <v>39</v>
      </c>
      <c r="F45" t="s">
        <v>2062</v>
      </c>
      <c r="G45" t="s">
        <v>2063</v>
      </c>
      <c r="H45" t="s">
        <v>2064</v>
      </c>
      <c r="I45" t="s">
        <v>2065</v>
      </c>
      <c r="J45" t="s">
        <v>2066</v>
      </c>
      <c r="K45" t="s">
        <v>2067</v>
      </c>
      <c r="L45" t="s">
        <v>2068</v>
      </c>
      <c r="M45" t="s">
        <v>2069</v>
      </c>
      <c r="N45" t="s">
        <v>2070</v>
      </c>
      <c r="O45">
        <v>8860805</v>
      </c>
      <c r="P45">
        <v>7969558</v>
      </c>
      <c r="Q45" t="s">
        <v>2071</v>
      </c>
      <c r="R45">
        <v>2682</v>
      </c>
      <c r="S45">
        <v>2191</v>
      </c>
      <c r="T45">
        <v>1889</v>
      </c>
      <c r="U45">
        <v>1623</v>
      </c>
      <c r="V45">
        <v>0</v>
      </c>
    </row>
    <row r="46" spans="1:22" x14ac:dyDescent="0.35">
      <c r="A46" s="1">
        <v>44287</v>
      </c>
      <c r="B46">
        <v>24866757</v>
      </c>
      <c r="C46">
        <v>175474</v>
      </c>
      <c r="D46" t="s">
        <v>46</v>
      </c>
      <c r="E46" t="s">
        <v>40</v>
      </c>
      <c r="F46" t="s">
        <v>2072</v>
      </c>
      <c r="G46" t="s">
        <v>2073</v>
      </c>
      <c r="H46" t="s">
        <v>2074</v>
      </c>
      <c r="I46" t="s">
        <v>2075</v>
      </c>
      <c r="J46" t="s">
        <v>2076</v>
      </c>
      <c r="K46" t="s">
        <v>2077</v>
      </c>
      <c r="L46" t="s">
        <v>2078</v>
      </c>
      <c r="M46" t="s">
        <v>2079</v>
      </c>
      <c r="N46" t="s">
        <v>2080</v>
      </c>
      <c r="O46">
        <v>6037704</v>
      </c>
      <c r="P46">
        <v>11315366</v>
      </c>
      <c r="Q46" t="s">
        <v>2081</v>
      </c>
      <c r="R46">
        <v>45040</v>
      </c>
      <c r="S46">
        <v>34404</v>
      </c>
      <c r="T46">
        <v>28902</v>
      </c>
      <c r="U46">
        <v>22925</v>
      </c>
      <c r="V46">
        <v>0</v>
      </c>
    </row>
    <row r="47" spans="1:22" x14ac:dyDescent="0.35">
      <c r="A47" s="1">
        <v>44287</v>
      </c>
      <c r="B47">
        <v>24866757</v>
      </c>
      <c r="C47">
        <v>110102</v>
      </c>
      <c r="D47" t="s">
        <v>46</v>
      </c>
      <c r="E47" t="s">
        <v>41</v>
      </c>
      <c r="F47" t="s">
        <v>2082</v>
      </c>
      <c r="G47" t="s">
        <v>2083</v>
      </c>
      <c r="H47" t="s">
        <v>2084</v>
      </c>
      <c r="I47" t="s">
        <v>2085</v>
      </c>
      <c r="J47" t="s">
        <v>2086</v>
      </c>
      <c r="K47" t="s">
        <v>2087</v>
      </c>
      <c r="L47" t="s">
        <v>2088</v>
      </c>
      <c r="M47" t="s">
        <v>2089</v>
      </c>
      <c r="N47" t="s">
        <v>2090</v>
      </c>
      <c r="O47">
        <v>5559033</v>
      </c>
      <c r="P47">
        <v>9170875</v>
      </c>
      <c r="Q47" t="s">
        <v>2091</v>
      </c>
      <c r="R47">
        <v>21932</v>
      </c>
      <c r="S47">
        <v>16975</v>
      </c>
      <c r="T47">
        <v>14417</v>
      </c>
      <c r="U47">
        <v>11654</v>
      </c>
      <c r="V47">
        <v>0</v>
      </c>
    </row>
    <row r="48" spans="1:22" x14ac:dyDescent="0.35">
      <c r="A48" s="1">
        <v>44287</v>
      </c>
      <c r="B48">
        <v>24866757</v>
      </c>
      <c r="C48">
        <v>22050</v>
      </c>
      <c r="D48" t="s">
        <v>46</v>
      </c>
      <c r="E48" t="s">
        <v>42</v>
      </c>
      <c r="F48" t="s">
        <v>2092</v>
      </c>
      <c r="G48" t="s">
        <v>2093</v>
      </c>
      <c r="H48" t="s">
        <v>2094</v>
      </c>
      <c r="I48" t="s">
        <v>2095</v>
      </c>
      <c r="J48" t="s">
        <v>2096</v>
      </c>
      <c r="K48" t="s">
        <v>2097</v>
      </c>
      <c r="L48" t="s">
        <v>2098</v>
      </c>
      <c r="M48" t="s">
        <v>2099</v>
      </c>
      <c r="N48" t="s">
        <v>2100</v>
      </c>
      <c r="O48">
        <v>9033511</v>
      </c>
      <c r="P48">
        <v>7274513</v>
      </c>
      <c r="Q48" t="s">
        <v>2101</v>
      </c>
      <c r="R48">
        <v>1007</v>
      </c>
      <c r="S48">
        <v>841</v>
      </c>
      <c r="T48">
        <v>738</v>
      </c>
      <c r="U48">
        <v>638</v>
      </c>
      <c r="V48">
        <v>0</v>
      </c>
    </row>
    <row r="49" spans="1:22" x14ac:dyDescent="0.35">
      <c r="A49" s="1">
        <v>44287</v>
      </c>
      <c r="B49">
        <v>24866757</v>
      </c>
      <c r="C49">
        <v>15434</v>
      </c>
      <c r="D49" t="s">
        <v>46</v>
      </c>
      <c r="E49" t="s">
        <v>43</v>
      </c>
      <c r="F49" t="s">
        <v>2102</v>
      </c>
      <c r="G49" t="s">
        <v>2103</v>
      </c>
      <c r="H49" t="s">
        <v>2104</v>
      </c>
      <c r="I49" t="s">
        <v>2105</v>
      </c>
      <c r="J49" t="s">
        <v>2106</v>
      </c>
      <c r="K49" t="s">
        <v>2107</v>
      </c>
      <c r="L49" t="s">
        <v>2108</v>
      </c>
      <c r="M49" t="s">
        <v>2109</v>
      </c>
      <c r="N49" t="s">
        <v>2110</v>
      </c>
      <c r="O49">
        <v>1018193</v>
      </c>
      <c r="P49">
        <v>941295</v>
      </c>
      <c r="Q49" t="s">
        <v>2111</v>
      </c>
      <c r="R49">
        <v>6845</v>
      </c>
      <c r="S49">
        <v>5903</v>
      </c>
      <c r="T49">
        <v>4223</v>
      </c>
      <c r="U49">
        <v>2616</v>
      </c>
      <c r="V49">
        <v>0</v>
      </c>
    </row>
    <row r="50" spans="1:22" x14ac:dyDescent="0.35">
      <c r="A50" s="1">
        <v>44287</v>
      </c>
      <c r="B50">
        <v>24866757</v>
      </c>
      <c r="C50">
        <v>505600</v>
      </c>
      <c r="D50" t="s">
        <v>47</v>
      </c>
      <c r="E50" t="s">
        <v>32</v>
      </c>
      <c r="F50" t="s">
        <v>2112</v>
      </c>
      <c r="G50" t="s">
        <v>2113</v>
      </c>
      <c r="H50" t="s">
        <v>2114</v>
      </c>
      <c r="I50" t="s">
        <v>2115</v>
      </c>
      <c r="J50" t="s">
        <v>2116</v>
      </c>
      <c r="K50" t="s">
        <v>2117</v>
      </c>
      <c r="L50" t="s">
        <v>2118</v>
      </c>
      <c r="M50" t="s">
        <v>2119</v>
      </c>
      <c r="N50" t="s">
        <v>2120</v>
      </c>
      <c r="O50">
        <v>625427</v>
      </c>
      <c r="P50">
        <v>4445545</v>
      </c>
      <c r="Q50" t="s">
        <v>2121</v>
      </c>
      <c r="R50">
        <v>380708</v>
      </c>
      <c r="S50">
        <v>324788</v>
      </c>
      <c r="T50">
        <v>268522</v>
      </c>
      <c r="U50">
        <v>145920</v>
      </c>
      <c r="V50">
        <v>0</v>
      </c>
    </row>
    <row r="51" spans="1:22" x14ac:dyDescent="0.35">
      <c r="A51" s="1">
        <v>44287</v>
      </c>
      <c r="B51">
        <v>24866757</v>
      </c>
      <c r="C51">
        <v>215694</v>
      </c>
      <c r="D51" t="s">
        <v>47</v>
      </c>
      <c r="E51" t="s">
        <v>33</v>
      </c>
      <c r="F51" t="s">
        <v>2122</v>
      </c>
      <c r="G51" t="s">
        <v>2123</v>
      </c>
      <c r="H51" t="s">
        <v>2124</v>
      </c>
      <c r="I51" t="s">
        <v>2125</v>
      </c>
      <c r="J51" t="s">
        <v>2126</v>
      </c>
      <c r="K51" t="s">
        <v>2127</v>
      </c>
      <c r="L51" t="s">
        <v>2128</v>
      </c>
      <c r="M51" t="s">
        <v>2129</v>
      </c>
      <c r="N51" t="s">
        <v>2130</v>
      </c>
      <c r="O51">
        <v>2207689</v>
      </c>
      <c r="P51">
        <v>5720445</v>
      </c>
      <c r="Q51" t="s">
        <v>2131</v>
      </c>
      <c r="R51">
        <v>109941</v>
      </c>
      <c r="S51">
        <v>84406</v>
      </c>
      <c r="T51">
        <v>68619</v>
      </c>
      <c r="U51">
        <v>45002</v>
      </c>
      <c r="V51">
        <v>0</v>
      </c>
    </row>
    <row r="52" spans="1:22" x14ac:dyDescent="0.35">
      <c r="A52" s="1">
        <v>44287</v>
      </c>
      <c r="B52">
        <v>24866757</v>
      </c>
      <c r="C52">
        <v>53111</v>
      </c>
      <c r="D52" t="s">
        <v>47</v>
      </c>
      <c r="E52" t="s">
        <v>34</v>
      </c>
      <c r="F52" t="s">
        <v>2132</v>
      </c>
      <c r="G52" t="s">
        <v>2133</v>
      </c>
      <c r="H52" t="s">
        <v>2134</v>
      </c>
      <c r="I52" t="s">
        <v>2135</v>
      </c>
      <c r="J52" t="s">
        <v>2136</v>
      </c>
      <c r="K52" t="s">
        <v>2137</v>
      </c>
      <c r="L52" t="s">
        <v>2138</v>
      </c>
      <c r="M52" t="s">
        <v>2139</v>
      </c>
      <c r="N52" t="s">
        <v>2140</v>
      </c>
      <c r="O52">
        <v>3779357</v>
      </c>
      <c r="P52">
        <v>5598508</v>
      </c>
      <c r="Q52" t="s">
        <v>2141</v>
      </c>
      <c r="R52">
        <v>6929</v>
      </c>
      <c r="S52">
        <v>5223</v>
      </c>
      <c r="T52">
        <v>4312</v>
      </c>
      <c r="U52">
        <v>3547</v>
      </c>
      <c r="V52">
        <v>0</v>
      </c>
    </row>
    <row r="53" spans="1:22" x14ac:dyDescent="0.35">
      <c r="A53" s="1">
        <v>44287</v>
      </c>
      <c r="B53">
        <v>24866757</v>
      </c>
      <c r="C53">
        <v>37136</v>
      </c>
      <c r="D53" t="s">
        <v>47</v>
      </c>
      <c r="E53" t="s">
        <v>35</v>
      </c>
      <c r="F53" t="s">
        <v>2142</v>
      </c>
      <c r="G53" t="s">
        <v>2143</v>
      </c>
      <c r="H53" t="s">
        <v>2144</v>
      </c>
      <c r="I53" t="s">
        <v>2145</v>
      </c>
      <c r="J53" t="s">
        <v>2146</v>
      </c>
      <c r="K53" t="s">
        <v>2147</v>
      </c>
      <c r="L53" t="s">
        <v>2148</v>
      </c>
      <c r="M53" t="s">
        <v>2149</v>
      </c>
      <c r="N53" t="s">
        <v>2150</v>
      </c>
      <c r="O53">
        <v>3363355</v>
      </c>
      <c r="P53">
        <v>4513376</v>
      </c>
      <c r="Q53" t="s">
        <v>2151</v>
      </c>
      <c r="R53">
        <v>4255</v>
      </c>
      <c r="S53">
        <v>3223</v>
      </c>
      <c r="T53">
        <v>2689</v>
      </c>
      <c r="U53">
        <v>2200</v>
      </c>
      <c r="V53">
        <v>0</v>
      </c>
    </row>
    <row r="54" spans="1:22" x14ac:dyDescent="0.35">
      <c r="A54" s="1">
        <v>44287</v>
      </c>
      <c r="B54">
        <v>24866757</v>
      </c>
      <c r="C54">
        <v>46348</v>
      </c>
      <c r="D54" t="s">
        <v>47</v>
      </c>
      <c r="E54" t="s">
        <v>36</v>
      </c>
      <c r="F54" t="s">
        <v>2152</v>
      </c>
      <c r="G54" t="s">
        <v>2153</v>
      </c>
      <c r="H54" t="s">
        <v>2154</v>
      </c>
      <c r="I54" t="s">
        <v>2155</v>
      </c>
      <c r="J54" t="s">
        <v>2156</v>
      </c>
      <c r="K54" t="s">
        <v>2157</v>
      </c>
      <c r="L54" t="s">
        <v>2158</v>
      </c>
      <c r="M54" t="s">
        <v>2159</v>
      </c>
      <c r="N54" t="s">
        <v>2160</v>
      </c>
      <c r="O54">
        <v>5333682</v>
      </c>
      <c r="P54">
        <v>6463268</v>
      </c>
      <c r="Q54" t="s">
        <v>2161</v>
      </c>
      <c r="R54">
        <v>4350</v>
      </c>
      <c r="S54">
        <v>3353</v>
      </c>
      <c r="T54">
        <v>2808</v>
      </c>
      <c r="U54">
        <v>2371</v>
      </c>
      <c r="V54">
        <v>0</v>
      </c>
    </row>
    <row r="55" spans="1:22" x14ac:dyDescent="0.35">
      <c r="A55" s="1">
        <v>44287</v>
      </c>
      <c r="B55">
        <v>24866757</v>
      </c>
      <c r="C55">
        <v>43442</v>
      </c>
      <c r="D55" t="s">
        <v>47</v>
      </c>
      <c r="E55" t="s">
        <v>37</v>
      </c>
      <c r="F55" t="s">
        <v>2162</v>
      </c>
      <c r="G55" t="s">
        <v>2163</v>
      </c>
      <c r="H55" t="s">
        <v>2164</v>
      </c>
      <c r="I55" t="s">
        <v>2165</v>
      </c>
      <c r="J55" t="s">
        <v>2166</v>
      </c>
      <c r="K55" t="s">
        <v>2167</v>
      </c>
      <c r="L55" t="s">
        <v>2168</v>
      </c>
      <c r="M55" t="s">
        <v>2169</v>
      </c>
      <c r="N55" t="s">
        <v>2170</v>
      </c>
      <c r="O55">
        <v>7217132</v>
      </c>
      <c r="P55">
        <v>7530008</v>
      </c>
      <c r="Q55" t="s">
        <v>2171</v>
      </c>
      <c r="R55">
        <v>3166</v>
      </c>
      <c r="S55">
        <v>2485</v>
      </c>
      <c r="T55">
        <v>2106</v>
      </c>
      <c r="U55">
        <v>1802</v>
      </c>
      <c r="V55">
        <v>0</v>
      </c>
    </row>
    <row r="56" spans="1:22" x14ac:dyDescent="0.35">
      <c r="A56" s="1">
        <v>44287</v>
      </c>
      <c r="B56">
        <v>24866757</v>
      </c>
      <c r="C56">
        <v>205879</v>
      </c>
      <c r="D56" t="s">
        <v>47</v>
      </c>
      <c r="E56" t="s">
        <v>38</v>
      </c>
      <c r="F56" t="s">
        <v>2172</v>
      </c>
      <c r="G56" t="s">
        <v>2173</v>
      </c>
      <c r="H56" t="s">
        <v>2174</v>
      </c>
      <c r="I56" t="s">
        <v>2175</v>
      </c>
      <c r="J56" t="s">
        <v>2176</v>
      </c>
      <c r="K56" t="s">
        <v>2177</v>
      </c>
      <c r="L56" t="s">
        <v>2178</v>
      </c>
      <c r="M56" t="s">
        <v>2179</v>
      </c>
      <c r="N56" t="s">
        <v>2180</v>
      </c>
      <c r="O56">
        <v>4327859</v>
      </c>
      <c r="P56">
        <v>9562370</v>
      </c>
      <c r="Q56" t="s">
        <v>2181</v>
      </c>
      <c r="R56">
        <v>67452</v>
      </c>
      <c r="S56">
        <v>49752</v>
      </c>
      <c r="T56">
        <v>40230</v>
      </c>
      <c r="U56">
        <v>29912</v>
      </c>
      <c r="V56">
        <v>0</v>
      </c>
    </row>
    <row r="57" spans="1:22" x14ac:dyDescent="0.35">
      <c r="A57" s="1">
        <v>44287</v>
      </c>
      <c r="B57">
        <v>24866757</v>
      </c>
      <c r="C57">
        <v>28035</v>
      </c>
      <c r="D57" t="s">
        <v>47</v>
      </c>
      <c r="E57" t="s">
        <v>39</v>
      </c>
      <c r="F57" t="s">
        <v>2182</v>
      </c>
      <c r="G57" t="s">
        <v>2183</v>
      </c>
      <c r="H57" t="s">
        <v>2184</v>
      </c>
      <c r="I57" t="s">
        <v>2185</v>
      </c>
      <c r="J57" t="s">
        <v>2186</v>
      </c>
      <c r="K57" t="s">
        <v>2187</v>
      </c>
      <c r="L57" t="s">
        <v>2188</v>
      </c>
      <c r="M57" t="s">
        <v>2189</v>
      </c>
      <c r="N57" t="s">
        <v>2190</v>
      </c>
      <c r="O57">
        <v>6972710</v>
      </c>
      <c r="P57">
        <v>6133738</v>
      </c>
      <c r="Q57" t="s">
        <v>2191</v>
      </c>
      <c r="R57">
        <v>1547</v>
      </c>
      <c r="S57">
        <v>1231</v>
      </c>
      <c r="T57">
        <v>1067</v>
      </c>
      <c r="U57">
        <v>916</v>
      </c>
      <c r="V57">
        <v>0</v>
      </c>
    </row>
    <row r="58" spans="1:22" x14ac:dyDescent="0.35">
      <c r="A58" s="1">
        <v>44287</v>
      </c>
      <c r="B58">
        <v>24866757</v>
      </c>
      <c r="C58">
        <v>124231</v>
      </c>
      <c r="D58" t="s">
        <v>47</v>
      </c>
      <c r="E58" t="s">
        <v>40</v>
      </c>
      <c r="F58" t="s">
        <v>2192</v>
      </c>
      <c r="G58" t="s">
        <v>2193</v>
      </c>
      <c r="H58" t="s">
        <v>2194</v>
      </c>
      <c r="I58" t="s">
        <v>2195</v>
      </c>
      <c r="J58" t="s">
        <v>2196</v>
      </c>
      <c r="K58" t="s">
        <v>2197</v>
      </c>
      <c r="L58" t="s">
        <v>2198</v>
      </c>
      <c r="M58" t="s">
        <v>2199</v>
      </c>
      <c r="N58" t="s">
        <v>2200</v>
      </c>
      <c r="O58">
        <v>4437114</v>
      </c>
      <c r="P58">
        <v>8511738</v>
      </c>
      <c r="Q58" t="s">
        <v>2201</v>
      </c>
      <c r="R58">
        <v>26912</v>
      </c>
      <c r="S58">
        <v>19918</v>
      </c>
      <c r="T58">
        <v>16279</v>
      </c>
      <c r="U58">
        <v>12767</v>
      </c>
      <c r="V58">
        <v>0</v>
      </c>
    </row>
    <row r="59" spans="1:22" x14ac:dyDescent="0.35">
      <c r="A59" s="1">
        <v>44287</v>
      </c>
      <c r="B59">
        <v>24866757</v>
      </c>
      <c r="C59">
        <v>78891</v>
      </c>
      <c r="D59" t="s">
        <v>47</v>
      </c>
      <c r="E59" t="s">
        <v>41</v>
      </c>
      <c r="F59" t="s">
        <v>2202</v>
      </c>
      <c r="G59" t="s">
        <v>2203</v>
      </c>
      <c r="H59" t="s">
        <v>2204</v>
      </c>
      <c r="I59" t="s">
        <v>2205</v>
      </c>
      <c r="J59" t="s">
        <v>2206</v>
      </c>
      <c r="K59" t="s">
        <v>2207</v>
      </c>
      <c r="L59" t="s">
        <v>2208</v>
      </c>
      <c r="M59" t="s">
        <v>2209</v>
      </c>
      <c r="N59" t="s">
        <v>2210</v>
      </c>
      <c r="O59">
        <v>4227799</v>
      </c>
      <c r="P59">
        <v>7013218</v>
      </c>
      <c r="Q59" t="s">
        <v>2211</v>
      </c>
      <c r="R59">
        <v>12996</v>
      </c>
      <c r="S59">
        <v>9677</v>
      </c>
      <c r="T59">
        <v>7937</v>
      </c>
      <c r="U59">
        <v>6429</v>
      </c>
      <c r="V59">
        <v>0</v>
      </c>
    </row>
    <row r="60" spans="1:22" x14ac:dyDescent="0.35">
      <c r="A60" s="1">
        <v>44287</v>
      </c>
      <c r="B60">
        <v>24866757</v>
      </c>
      <c r="C60">
        <v>16214</v>
      </c>
      <c r="D60" t="s">
        <v>47</v>
      </c>
      <c r="E60" t="s">
        <v>42</v>
      </c>
      <c r="F60" t="s">
        <v>2212</v>
      </c>
      <c r="G60" t="s">
        <v>2213</v>
      </c>
      <c r="H60" t="s">
        <v>2214</v>
      </c>
      <c r="I60" t="s">
        <v>2215</v>
      </c>
      <c r="J60" t="s">
        <v>2216</v>
      </c>
      <c r="K60" t="s">
        <v>2217</v>
      </c>
      <c r="L60" t="s">
        <v>2218</v>
      </c>
      <c r="M60" t="s">
        <v>2219</v>
      </c>
      <c r="N60" t="s">
        <v>2220</v>
      </c>
      <c r="O60">
        <v>6547870</v>
      </c>
      <c r="P60">
        <v>5061095</v>
      </c>
      <c r="Q60" t="s">
        <v>2221</v>
      </c>
      <c r="R60">
        <v>585</v>
      </c>
      <c r="S60">
        <v>486</v>
      </c>
      <c r="T60">
        <v>426</v>
      </c>
      <c r="U60">
        <v>383</v>
      </c>
      <c r="V60">
        <v>0</v>
      </c>
    </row>
    <row r="61" spans="1:22" x14ac:dyDescent="0.35">
      <c r="A61" s="1">
        <v>44287</v>
      </c>
      <c r="B61">
        <v>24866757</v>
      </c>
      <c r="C61">
        <v>10683</v>
      </c>
      <c r="D61" t="s">
        <v>47</v>
      </c>
      <c r="E61" t="s">
        <v>43</v>
      </c>
      <c r="F61" t="s">
        <v>2222</v>
      </c>
      <c r="G61" t="s">
        <v>2223</v>
      </c>
      <c r="H61" t="s">
        <v>2224</v>
      </c>
      <c r="I61" t="s">
        <v>2225</v>
      </c>
      <c r="J61" t="s">
        <v>2226</v>
      </c>
      <c r="K61" t="s">
        <v>2227</v>
      </c>
      <c r="L61" t="s">
        <v>2228</v>
      </c>
      <c r="M61" t="s">
        <v>2229</v>
      </c>
      <c r="N61" t="s">
        <v>2230</v>
      </c>
      <c r="O61">
        <v>629286</v>
      </c>
      <c r="P61">
        <v>104347</v>
      </c>
      <c r="Q61" t="s">
        <v>2231</v>
      </c>
      <c r="R61">
        <v>4480</v>
      </c>
      <c r="S61">
        <v>3883</v>
      </c>
      <c r="T61">
        <v>2983</v>
      </c>
      <c r="U61">
        <v>1988</v>
      </c>
      <c r="V61">
        <v>0</v>
      </c>
    </row>
    <row r="62" spans="1:22" x14ac:dyDescent="0.35">
      <c r="A62" s="1">
        <v>44287</v>
      </c>
      <c r="B62">
        <v>24866757</v>
      </c>
      <c r="C62">
        <v>1499864</v>
      </c>
      <c r="D62" t="s">
        <v>48</v>
      </c>
      <c r="E62" t="s">
        <v>32</v>
      </c>
      <c r="F62" t="s">
        <v>2232</v>
      </c>
      <c r="G62" t="s">
        <v>2233</v>
      </c>
      <c r="H62" t="s">
        <v>2234</v>
      </c>
      <c r="I62" t="s">
        <v>2235</v>
      </c>
      <c r="J62" t="s">
        <v>2236</v>
      </c>
      <c r="K62" t="s">
        <v>2237</v>
      </c>
      <c r="L62" t="s">
        <v>2238</v>
      </c>
      <c r="M62" t="s">
        <v>2239</v>
      </c>
      <c r="N62" t="s">
        <v>2240</v>
      </c>
      <c r="O62">
        <v>2389486</v>
      </c>
      <c r="P62">
        <v>40768905</v>
      </c>
      <c r="Q62" t="s">
        <v>2241</v>
      </c>
      <c r="R62">
        <v>826447</v>
      </c>
      <c r="S62">
        <v>611138</v>
      </c>
      <c r="T62">
        <v>458496</v>
      </c>
      <c r="U62">
        <v>253898</v>
      </c>
      <c r="V62">
        <v>0</v>
      </c>
    </row>
    <row r="63" spans="1:22" x14ac:dyDescent="0.35">
      <c r="A63" s="1">
        <v>44287</v>
      </c>
      <c r="B63">
        <v>24866757</v>
      </c>
      <c r="C63">
        <v>1010727</v>
      </c>
      <c r="D63" t="s">
        <v>48</v>
      </c>
      <c r="E63" t="s">
        <v>33</v>
      </c>
      <c r="F63" t="s">
        <v>2242</v>
      </c>
      <c r="G63" t="s">
        <v>2243</v>
      </c>
      <c r="H63" t="s">
        <v>2244</v>
      </c>
      <c r="I63" t="s">
        <v>2245</v>
      </c>
      <c r="J63" t="s">
        <v>2246</v>
      </c>
      <c r="K63" t="s">
        <v>2247</v>
      </c>
      <c r="L63" t="s">
        <v>2248</v>
      </c>
      <c r="M63" t="s">
        <v>2249</v>
      </c>
      <c r="N63" t="s">
        <v>2250</v>
      </c>
      <c r="O63">
        <v>12888258</v>
      </c>
      <c r="P63">
        <v>62792367</v>
      </c>
      <c r="Q63" t="s">
        <v>2251</v>
      </c>
      <c r="R63">
        <v>246341</v>
      </c>
      <c r="S63">
        <v>147961</v>
      </c>
      <c r="T63">
        <v>103544</v>
      </c>
      <c r="U63">
        <v>62426</v>
      </c>
      <c r="V63">
        <v>0</v>
      </c>
    </row>
    <row r="64" spans="1:22" x14ac:dyDescent="0.35">
      <c r="A64" s="1">
        <v>44287</v>
      </c>
      <c r="B64">
        <v>24866757</v>
      </c>
      <c r="C64">
        <v>561453</v>
      </c>
      <c r="D64" t="s">
        <v>48</v>
      </c>
      <c r="E64" t="s">
        <v>34</v>
      </c>
      <c r="F64" t="s">
        <v>2252</v>
      </c>
      <c r="G64" t="s">
        <v>2253</v>
      </c>
      <c r="H64" t="s">
        <v>2254</v>
      </c>
      <c r="I64" t="s">
        <v>2255</v>
      </c>
      <c r="J64" t="s">
        <v>2256</v>
      </c>
      <c r="K64" t="s">
        <v>2257</v>
      </c>
      <c r="L64" t="s">
        <v>2258</v>
      </c>
      <c r="M64" t="s">
        <v>2259</v>
      </c>
      <c r="N64" t="s">
        <v>2260</v>
      </c>
      <c r="O64">
        <v>46255364</v>
      </c>
      <c r="P64">
        <v>96636207</v>
      </c>
      <c r="Q64" t="s">
        <v>2261</v>
      </c>
      <c r="R64">
        <v>20772</v>
      </c>
      <c r="S64">
        <v>12850</v>
      </c>
      <c r="T64">
        <v>9333</v>
      </c>
      <c r="U64">
        <v>6887</v>
      </c>
      <c r="V64">
        <v>0</v>
      </c>
    </row>
    <row r="65" spans="1:22" x14ac:dyDescent="0.35">
      <c r="A65" s="1">
        <v>44287</v>
      </c>
      <c r="B65">
        <v>24866757</v>
      </c>
      <c r="C65">
        <v>444861</v>
      </c>
      <c r="D65" t="s">
        <v>48</v>
      </c>
      <c r="E65" t="s">
        <v>35</v>
      </c>
      <c r="F65" t="s">
        <v>2262</v>
      </c>
      <c r="G65" t="s">
        <v>2263</v>
      </c>
      <c r="H65" t="s">
        <v>2264</v>
      </c>
      <c r="I65" t="s">
        <v>2265</v>
      </c>
      <c r="J65" t="s">
        <v>2266</v>
      </c>
      <c r="K65" t="s">
        <v>2267</v>
      </c>
      <c r="L65" t="s">
        <v>2268</v>
      </c>
      <c r="M65" t="s">
        <v>2269</v>
      </c>
      <c r="N65" t="s">
        <v>2270</v>
      </c>
      <c r="O65">
        <v>45167455</v>
      </c>
      <c r="P65">
        <v>84899243</v>
      </c>
      <c r="Q65" t="s">
        <v>2271</v>
      </c>
      <c r="R65">
        <v>13231</v>
      </c>
      <c r="S65">
        <v>8349</v>
      </c>
      <c r="T65">
        <v>6160</v>
      </c>
      <c r="U65">
        <v>4620</v>
      </c>
      <c r="V65">
        <v>0</v>
      </c>
    </row>
    <row r="66" spans="1:22" x14ac:dyDescent="0.35">
      <c r="A66" s="1">
        <v>44287</v>
      </c>
      <c r="B66">
        <v>24866757</v>
      </c>
      <c r="C66">
        <v>652591</v>
      </c>
      <c r="D66" t="s">
        <v>48</v>
      </c>
      <c r="E66" t="s">
        <v>36</v>
      </c>
      <c r="F66" t="s">
        <v>2272</v>
      </c>
      <c r="G66" t="s">
        <v>2273</v>
      </c>
      <c r="H66" t="s">
        <v>2274</v>
      </c>
      <c r="I66" t="s">
        <v>2275</v>
      </c>
      <c r="J66" t="s">
        <v>2276</v>
      </c>
      <c r="K66" t="s">
        <v>2277</v>
      </c>
      <c r="L66" t="s">
        <v>2278</v>
      </c>
      <c r="M66" t="s">
        <v>2279</v>
      </c>
      <c r="N66" t="s">
        <v>2280</v>
      </c>
      <c r="O66">
        <v>84735327</v>
      </c>
      <c r="P66">
        <v>140963936</v>
      </c>
      <c r="Q66" t="s">
        <v>2281</v>
      </c>
      <c r="R66">
        <v>14868</v>
      </c>
      <c r="S66">
        <v>9589</v>
      </c>
      <c r="T66">
        <v>7147</v>
      </c>
      <c r="U66">
        <v>5431</v>
      </c>
      <c r="V66">
        <v>0</v>
      </c>
    </row>
    <row r="67" spans="1:22" x14ac:dyDescent="0.35">
      <c r="A67" s="1">
        <v>44287</v>
      </c>
      <c r="B67">
        <v>24866757</v>
      </c>
      <c r="C67">
        <v>770067</v>
      </c>
      <c r="D67" t="s">
        <v>48</v>
      </c>
      <c r="E67" t="s">
        <v>37</v>
      </c>
      <c r="F67" t="s">
        <v>2282</v>
      </c>
      <c r="G67" t="s">
        <v>2283</v>
      </c>
      <c r="H67" t="s">
        <v>2284</v>
      </c>
      <c r="I67" t="s">
        <v>2285</v>
      </c>
      <c r="J67" t="s">
        <v>2286</v>
      </c>
      <c r="K67" t="s">
        <v>2287</v>
      </c>
      <c r="L67" t="s">
        <v>2288</v>
      </c>
      <c r="M67" t="s">
        <v>2289</v>
      </c>
      <c r="N67" t="s">
        <v>2290</v>
      </c>
      <c r="O67">
        <v>141783849</v>
      </c>
      <c r="P67">
        <v>198333599</v>
      </c>
      <c r="Q67" t="s">
        <v>2291</v>
      </c>
      <c r="R67">
        <v>12193</v>
      </c>
      <c r="S67">
        <v>8205</v>
      </c>
      <c r="T67">
        <v>6144</v>
      </c>
      <c r="U67">
        <v>4727</v>
      </c>
      <c r="V67">
        <v>0</v>
      </c>
    </row>
    <row r="68" spans="1:22" x14ac:dyDescent="0.35">
      <c r="A68" s="1">
        <v>44287</v>
      </c>
      <c r="B68">
        <v>24866757</v>
      </c>
      <c r="C68">
        <v>1252140</v>
      </c>
      <c r="D68" t="s">
        <v>48</v>
      </c>
      <c r="E68" t="s">
        <v>38</v>
      </c>
      <c r="F68" t="s">
        <v>2292</v>
      </c>
      <c r="G68" t="s">
        <v>2293</v>
      </c>
      <c r="H68" t="s">
        <v>2294</v>
      </c>
      <c r="I68" t="s">
        <v>2295</v>
      </c>
      <c r="J68" t="s">
        <v>2296</v>
      </c>
      <c r="K68" t="s">
        <v>2297</v>
      </c>
      <c r="L68" t="s">
        <v>2298</v>
      </c>
      <c r="M68" t="s">
        <v>2299</v>
      </c>
      <c r="N68" t="s">
        <v>2300</v>
      </c>
      <c r="O68">
        <v>35155576</v>
      </c>
      <c r="P68">
        <v>117206127</v>
      </c>
      <c r="Q68" t="s">
        <v>2301</v>
      </c>
      <c r="R68">
        <v>158807</v>
      </c>
      <c r="S68">
        <v>91868</v>
      </c>
      <c r="T68">
        <v>64768</v>
      </c>
      <c r="U68">
        <v>43086</v>
      </c>
      <c r="V68">
        <v>0</v>
      </c>
    </row>
    <row r="69" spans="1:22" x14ac:dyDescent="0.35">
      <c r="A69" s="1">
        <v>44287</v>
      </c>
      <c r="B69">
        <v>24866757</v>
      </c>
      <c r="C69">
        <v>653899</v>
      </c>
      <c r="D69" t="s">
        <v>48</v>
      </c>
      <c r="E69" t="s">
        <v>39</v>
      </c>
      <c r="F69" t="s">
        <v>2302</v>
      </c>
      <c r="G69" t="s">
        <v>2303</v>
      </c>
      <c r="H69" t="s">
        <v>2304</v>
      </c>
      <c r="I69" t="s">
        <v>2305</v>
      </c>
      <c r="J69" t="s">
        <v>2306</v>
      </c>
      <c r="K69" t="s">
        <v>2307</v>
      </c>
      <c r="L69" t="s">
        <v>2308</v>
      </c>
      <c r="M69" t="s">
        <v>2309</v>
      </c>
      <c r="N69" t="s">
        <v>2310</v>
      </c>
      <c r="O69">
        <v>180820112</v>
      </c>
      <c r="P69">
        <v>211946010</v>
      </c>
      <c r="Q69" t="s">
        <v>2311</v>
      </c>
      <c r="R69">
        <v>6420</v>
      </c>
      <c r="S69">
        <v>4369</v>
      </c>
      <c r="T69">
        <v>3269</v>
      </c>
      <c r="U69">
        <v>2558</v>
      </c>
      <c r="V69">
        <v>0</v>
      </c>
    </row>
    <row r="70" spans="1:22" x14ac:dyDescent="0.35">
      <c r="A70" s="1">
        <v>44287</v>
      </c>
      <c r="B70">
        <v>24866757</v>
      </c>
      <c r="C70">
        <v>937950</v>
      </c>
      <c r="D70" t="s">
        <v>48</v>
      </c>
      <c r="E70" t="s">
        <v>40</v>
      </c>
      <c r="F70" t="s">
        <v>2312</v>
      </c>
      <c r="G70" t="s">
        <v>2313</v>
      </c>
      <c r="H70" t="s">
        <v>2314</v>
      </c>
      <c r="I70" t="s">
        <v>2315</v>
      </c>
      <c r="J70" t="s">
        <v>2316</v>
      </c>
      <c r="K70" t="s">
        <v>2317</v>
      </c>
      <c r="L70" t="s">
        <v>2318</v>
      </c>
      <c r="M70" t="s">
        <v>2319</v>
      </c>
      <c r="N70" t="s">
        <v>2320</v>
      </c>
      <c r="O70">
        <v>43008618</v>
      </c>
      <c r="P70">
        <v>116447284</v>
      </c>
      <c r="Q70" t="s">
        <v>2321</v>
      </c>
      <c r="R70">
        <v>67983</v>
      </c>
      <c r="S70">
        <v>40088</v>
      </c>
      <c r="T70">
        <v>28732</v>
      </c>
      <c r="U70">
        <v>20435</v>
      </c>
      <c r="V70">
        <v>0</v>
      </c>
    </row>
    <row r="71" spans="1:22" x14ac:dyDescent="0.35">
      <c r="A71" s="1">
        <v>44287</v>
      </c>
      <c r="B71">
        <v>24866757</v>
      </c>
      <c r="C71">
        <v>718847</v>
      </c>
      <c r="D71" t="s">
        <v>48</v>
      </c>
      <c r="E71" t="s">
        <v>41</v>
      </c>
      <c r="F71" t="s">
        <v>2322</v>
      </c>
      <c r="G71" t="s">
        <v>2323</v>
      </c>
      <c r="H71" t="s">
        <v>2324</v>
      </c>
      <c r="I71" t="s">
        <v>2325</v>
      </c>
      <c r="J71" t="s">
        <v>2326</v>
      </c>
      <c r="K71" t="s">
        <v>2327</v>
      </c>
      <c r="L71" t="s">
        <v>2328</v>
      </c>
      <c r="M71" t="s">
        <v>2329</v>
      </c>
      <c r="N71" t="s">
        <v>2330</v>
      </c>
      <c r="O71">
        <v>45622040</v>
      </c>
      <c r="P71">
        <v>107183056</v>
      </c>
      <c r="Q71" t="s">
        <v>2331</v>
      </c>
      <c r="R71">
        <v>35844</v>
      </c>
      <c r="S71">
        <v>21634</v>
      </c>
      <c r="T71">
        <v>15640</v>
      </c>
      <c r="U71">
        <v>11413</v>
      </c>
      <c r="V71">
        <v>0</v>
      </c>
    </row>
    <row r="72" spans="1:22" x14ac:dyDescent="0.35">
      <c r="A72" s="1">
        <v>44287</v>
      </c>
      <c r="B72">
        <v>24866757</v>
      </c>
      <c r="C72">
        <v>502897</v>
      </c>
      <c r="D72" t="s">
        <v>48</v>
      </c>
      <c r="E72" t="s">
        <v>42</v>
      </c>
      <c r="F72" t="s">
        <v>2332</v>
      </c>
      <c r="G72" t="s">
        <v>2333</v>
      </c>
      <c r="H72" t="s">
        <v>2334</v>
      </c>
      <c r="I72" t="s">
        <v>2335</v>
      </c>
      <c r="J72" t="s">
        <v>2336</v>
      </c>
      <c r="K72" t="s">
        <v>2337</v>
      </c>
      <c r="L72" t="s">
        <v>2338</v>
      </c>
      <c r="M72" t="s">
        <v>2339</v>
      </c>
      <c r="N72" t="s">
        <v>2340</v>
      </c>
      <c r="O72">
        <v>244165330</v>
      </c>
      <c r="P72">
        <v>233982647</v>
      </c>
      <c r="Q72" t="s">
        <v>2341</v>
      </c>
      <c r="R72">
        <v>2590</v>
      </c>
      <c r="S72">
        <v>1806</v>
      </c>
      <c r="T72">
        <v>1397</v>
      </c>
      <c r="U72">
        <v>1141</v>
      </c>
      <c r="V72">
        <v>0</v>
      </c>
    </row>
    <row r="73" spans="1:22" x14ac:dyDescent="0.35">
      <c r="A73" s="1">
        <v>44287</v>
      </c>
      <c r="B73">
        <v>24866757</v>
      </c>
      <c r="C73">
        <v>17573</v>
      </c>
      <c r="D73" t="s">
        <v>48</v>
      </c>
      <c r="E73" t="s">
        <v>43</v>
      </c>
      <c r="F73" t="s">
        <v>2342</v>
      </c>
      <c r="G73" t="s">
        <v>2343</v>
      </c>
      <c r="H73" t="s">
        <v>2344</v>
      </c>
      <c r="I73" t="s">
        <v>2345</v>
      </c>
      <c r="J73" t="s">
        <v>2346</v>
      </c>
      <c r="K73" t="s">
        <v>2347</v>
      </c>
      <c r="L73" t="s">
        <v>2348</v>
      </c>
      <c r="M73" t="s">
        <v>2349</v>
      </c>
      <c r="N73" t="s">
        <v>2350</v>
      </c>
      <c r="O73">
        <v>152765</v>
      </c>
      <c r="P73">
        <v>414447</v>
      </c>
      <c r="Q73" t="s">
        <v>2351</v>
      </c>
      <c r="R73">
        <v>9496</v>
      </c>
      <c r="S73">
        <v>8211</v>
      </c>
      <c r="T73">
        <v>6100</v>
      </c>
      <c r="U73">
        <v>4311</v>
      </c>
      <c r="V7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3A40-CB4A-48C0-9F01-432E7DC7A633}">
  <dimension ref="A1:Z217"/>
  <sheetViews>
    <sheetView workbookViewId="0">
      <selection activeCell="D1" sqref="D1"/>
    </sheetView>
  </sheetViews>
  <sheetFormatPr defaultRowHeight="14.5" x14ac:dyDescent="0.35"/>
  <cols>
    <col min="1" max="1" width="8.453125" bestFit="1" customWidth="1"/>
    <col min="2" max="2" width="9.36328125" bestFit="1" customWidth="1"/>
    <col min="3" max="3" width="8.36328125" bestFit="1" customWidth="1"/>
    <col min="4" max="4" width="13.26953125" bestFit="1" customWidth="1"/>
    <col min="5" max="5" width="18.453125" bestFit="1" customWidth="1"/>
    <col min="6" max="12" width="12.453125" bestFit="1" customWidth="1"/>
    <col min="13" max="13" width="13.54296875" bestFit="1" customWidth="1"/>
    <col min="14" max="14" width="12.54296875" bestFit="1" customWidth="1"/>
    <col min="15" max="16" width="9.81640625" bestFit="1" customWidth="1"/>
    <col min="17" max="17" width="22.54296875" bestFit="1" customWidth="1"/>
    <col min="18" max="18" width="14.81640625" bestFit="1" customWidth="1"/>
    <col min="19" max="22" width="15.81640625" bestFit="1" customWidth="1"/>
    <col min="23" max="23" width="9.1796875" bestFit="1" customWidth="1"/>
    <col min="26" max="26" width="17.26953125" bestFit="1" customWidth="1"/>
  </cols>
  <sheetData>
    <row r="1" spans="1:26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2394</v>
      </c>
      <c r="Z1" t="s">
        <v>2395</v>
      </c>
    </row>
    <row r="2" spans="1:26" x14ac:dyDescent="0.35">
      <c r="A2" s="1">
        <v>44228</v>
      </c>
      <c r="B2">
        <v>24998823</v>
      </c>
      <c r="C2">
        <v>3305509</v>
      </c>
      <c r="D2" t="s">
        <v>31</v>
      </c>
      <c r="E2" t="s">
        <v>32</v>
      </c>
      <c r="F2">
        <v>7722060.5754617499</v>
      </c>
      <c r="G2">
        <v>13288873.143876299</v>
      </c>
      <c r="H2">
        <v>6501996.0146623002</v>
      </c>
      <c r="I2">
        <v>3375312.5678735599</v>
      </c>
      <c r="J2">
        <v>4.0202199249423796</v>
      </c>
      <c r="K2">
        <v>1.9670180945392299</v>
      </c>
      <c r="L2">
        <v>1.02111734316063</v>
      </c>
      <c r="M2">
        <v>7029842.73999428</v>
      </c>
      <c r="N2">
        <v>3357101.60000091</v>
      </c>
      <c r="O2">
        <v>8381050</v>
      </c>
      <c r="P2">
        <v>16598795</v>
      </c>
      <c r="Q2">
        <v>1024369032.5074</v>
      </c>
      <c r="R2">
        <v>2374613</v>
      </c>
      <c r="S2">
        <v>2164288</v>
      </c>
      <c r="T2">
        <v>2003728</v>
      </c>
      <c r="U2">
        <v>1419706</v>
      </c>
      <c r="V2">
        <v>770951</v>
      </c>
      <c r="W2" t="str">
        <f>VLOOKUP(E2,Segments!$B$1:$C$12,2,0)</f>
        <v>Low</v>
      </c>
      <c r="Z2" t="s">
        <v>2390</v>
      </c>
    </row>
    <row r="3" spans="1:26" x14ac:dyDescent="0.35">
      <c r="A3" s="1">
        <v>44228</v>
      </c>
      <c r="B3">
        <v>24998823</v>
      </c>
      <c r="C3">
        <v>1183742</v>
      </c>
      <c r="D3" t="s">
        <v>31</v>
      </c>
      <c r="E3" t="s">
        <v>33</v>
      </c>
      <c r="F3">
        <v>17434475.8258694</v>
      </c>
      <c r="G3">
        <v>29233559.4290605</v>
      </c>
      <c r="H3">
        <v>15194447.564633001</v>
      </c>
      <c r="I3">
        <v>7875420.4839303698</v>
      </c>
      <c r="J3">
        <v>24.695887641952801</v>
      </c>
      <c r="K3">
        <v>12.835945302804999</v>
      </c>
      <c r="L3">
        <v>6.6529872927803302</v>
      </c>
      <c r="M3">
        <v>12017721.530002501</v>
      </c>
      <c r="N3">
        <v>8628754.2309002895</v>
      </c>
      <c r="O3">
        <v>16673168</v>
      </c>
      <c r="P3">
        <v>20410798</v>
      </c>
      <c r="Q3">
        <v>680126355.448138</v>
      </c>
      <c r="R3">
        <v>640519</v>
      </c>
      <c r="S3">
        <v>584395</v>
      </c>
      <c r="T3">
        <v>549121</v>
      </c>
      <c r="U3">
        <v>404751</v>
      </c>
      <c r="V3">
        <v>223102</v>
      </c>
      <c r="W3" s="6" t="str">
        <f>VLOOKUP(E3,Segments!$B$1:$C$12,2,0)</f>
        <v>Low</v>
      </c>
      <c r="Z3" t="s">
        <v>2390</v>
      </c>
    </row>
    <row r="4" spans="1:26" x14ac:dyDescent="0.35">
      <c r="A4" s="1">
        <v>44228</v>
      </c>
      <c r="B4">
        <v>24998823</v>
      </c>
      <c r="C4">
        <v>64610</v>
      </c>
      <c r="D4" t="s">
        <v>31</v>
      </c>
      <c r="E4" t="s">
        <v>34</v>
      </c>
      <c r="F4">
        <v>7197556.7864774298</v>
      </c>
      <c r="G4">
        <v>11626685.0240834</v>
      </c>
      <c r="H4">
        <v>7296940.23619112</v>
      </c>
      <c r="I4">
        <v>2669045.0991578801</v>
      </c>
      <c r="J4">
        <v>179.951788021721</v>
      </c>
      <c r="K4">
        <v>112.938248509381</v>
      </c>
      <c r="L4">
        <v>41.310092851847699</v>
      </c>
      <c r="M4">
        <v>4573523.6599999601</v>
      </c>
      <c r="N4">
        <v>4066469.8500000201</v>
      </c>
      <c r="O4">
        <v>7071441</v>
      </c>
      <c r="P4">
        <v>6097574</v>
      </c>
      <c r="Q4">
        <v>197036602.45180801</v>
      </c>
      <c r="R4">
        <v>10753</v>
      </c>
      <c r="S4">
        <v>9404</v>
      </c>
      <c r="T4">
        <v>8563</v>
      </c>
      <c r="U4">
        <v>7329</v>
      </c>
      <c r="V4">
        <v>4424</v>
      </c>
      <c r="W4" s="6" t="str">
        <f>VLOOKUP(E4,Segments!$B$1:$C$12,2,0)</f>
        <v>Medium</v>
      </c>
      <c r="Z4" t="s">
        <v>2391</v>
      </c>
    </row>
    <row r="5" spans="1:26" x14ac:dyDescent="0.35">
      <c r="A5" s="1">
        <v>44228</v>
      </c>
      <c r="B5">
        <v>24998823</v>
      </c>
      <c r="C5">
        <v>40777</v>
      </c>
      <c r="D5" t="s">
        <v>31</v>
      </c>
      <c r="E5" t="s">
        <v>35</v>
      </c>
      <c r="F5">
        <v>5570106.5072485702</v>
      </c>
      <c r="G5">
        <v>8886996.9221996292</v>
      </c>
      <c r="H5">
        <v>5704191.1895327903</v>
      </c>
      <c r="I5">
        <v>2119131.41001336</v>
      </c>
      <c r="J5">
        <v>217.94141114352701</v>
      </c>
      <c r="K5">
        <v>139.887465716771</v>
      </c>
      <c r="L5">
        <v>51.9687914759145</v>
      </c>
      <c r="M5">
        <v>3421065.5499999798</v>
      </c>
      <c r="N5">
        <v>3235683.45</v>
      </c>
      <c r="O5">
        <v>5254319</v>
      </c>
      <c r="P5">
        <v>4330380</v>
      </c>
      <c r="Q5">
        <v>147590106.97904301</v>
      </c>
      <c r="R5">
        <v>6313</v>
      </c>
      <c r="S5">
        <v>5561</v>
      </c>
      <c r="T5">
        <v>5070</v>
      </c>
      <c r="U5">
        <v>4328</v>
      </c>
      <c r="V5">
        <v>2598</v>
      </c>
      <c r="W5" s="6" t="str">
        <f>VLOOKUP(E5,Segments!$B$1:$C$12,2,0)</f>
        <v>High</v>
      </c>
      <c r="Z5" t="s">
        <v>2392</v>
      </c>
    </row>
    <row r="6" spans="1:26" x14ac:dyDescent="0.35">
      <c r="A6" s="1">
        <v>44228</v>
      </c>
      <c r="B6">
        <v>24998823</v>
      </c>
      <c r="C6">
        <v>45011</v>
      </c>
      <c r="D6" t="s">
        <v>31</v>
      </c>
      <c r="E6" t="s">
        <v>36</v>
      </c>
      <c r="F6">
        <v>7729045.2400107998</v>
      </c>
      <c r="G6">
        <v>12197508.4418154</v>
      </c>
      <c r="H6">
        <v>8020110.9448688803</v>
      </c>
      <c r="I6">
        <v>2969516.3333480801</v>
      </c>
      <c r="J6">
        <v>270.98950127336599</v>
      </c>
      <c r="K6">
        <v>178.18113227586301</v>
      </c>
      <c r="L6">
        <v>65.9731250882692</v>
      </c>
      <c r="M6">
        <v>4550425.4899999704</v>
      </c>
      <c r="N6">
        <v>4656805.7300000004</v>
      </c>
      <c r="O6">
        <v>6849945</v>
      </c>
      <c r="P6">
        <v>5403248</v>
      </c>
      <c r="Q6">
        <v>203477860.18056199</v>
      </c>
      <c r="R6">
        <v>6282</v>
      </c>
      <c r="S6">
        <v>5566</v>
      </c>
      <c r="T6">
        <v>5046</v>
      </c>
      <c r="U6">
        <v>4331</v>
      </c>
      <c r="V6">
        <v>2619</v>
      </c>
      <c r="W6" s="6" t="str">
        <f>VLOOKUP(E6,Segments!$B$1:$C$12,2,0)</f>
        <v>High</v>
      </c>
      <c r="Z6" t="s">
        <v>2392</v>
      </c>
    </row>
    <row r="7" spans="1:26" x14ac:dyDescent="0.35">
      <c r="A7" s="1">
        <v>44228</v>
      </c>
      <c r="B7">
        <v>24998823</v>
      </c>
      <c r="C7">
        <v>35053</v>
      </c>
      <c r="D7" t="s">
        <v>31</v>
      </c>
      <c r="E7" t="s">
        <v>37</v>
      </c>
      <c r="F7">
        <v>8433758.4341769498</v>
      </c>
      <c r="G7">
        <v>13039557.389473399</v>
      </c>
      <c r="H7">
        <v>8867437.9917838201</v>
      </c>
      <c r="I7">
        <v>3394279.9212736702</v>
      </c>
      <c r="J7">
        <v>371.995475122627</v>
      </c>
      <c r="K7">
        <v>252.97229885555601</v>
      </c>
      <c r="L7">
        <v>96.832793805770507</v>
      </c>
      <c r="M7">
        <v>4832081.2099999804</v>
      </c>
      <c r="N7">
        <v>5290285.9109000098</v>
      </c>
      <c r="O7">
        <v>6884552</v>
      </c>
      <c r="P7">
        <v>5222454</v>
      </c>
      <c r="Q7">
        <v>205356855.011814</v>
      </c>
      <c r="R7">
        <v>4227</v>
      </c>
      <c r="S7">
        <v>3797</v>
      </c>
      <c r="T7">
        <v>3448</v>
      </c>
      <c r="U7">
        <v>3029</v>
      </c>
      <c r="V7">
        <v>1809</v>
      </c>
      <c r="W7" s="6" t="str">
        <f>VLOOKUP(E7,Segments!$B$1:$C$12,2,0)</f>
        <v>High</v>
      </c>
      <c r="Z7" t="s">
        <v>2392</v>
      </c>
    </row>
    <row r="8" spans="1:26" x14ac:dyDescent="0.35">
      <c r="A8" s="1">
        <v>44228</v>
      </c>
      <c r="B8">
        <v>24998823</v>
      </c>
      <c r="C8">
        <v>543336</v>
      </c>
      <c r="D8" t="s">
        <v>31</v>
      </c>
      <c r="E8" t="s">
        <v>38</v>
      </c>
      <c r="F8">
        <v>19228946.6538167</v>
      </c>
      <c r="G8">
        <v>33903011.168003596</v>
      </c>
      <c r="H8">
        <v>17306437.094691001</v>
      </c>
      <c r="I8">
        <v>6477391.6987587102</v>
      </c>
      <c r="J8">
        <v>62.397873816576897</v>
      </c>
      <c r="K8">
        <v>31.852181881360799</v>
      </c>
      <c r="L8">
        <v>11.9215213031323</v>
      </c>
      <c r="M8">
        <v>14696575.210002</v>
      </c>
      <c r="N8">
        <v>10910009.291799599</v>
      </c>
      <c r="O8">
        <v>20683127</v>
      </c>
      <c r="P8">
        <v>23311441</v>
      </c>
      <c r="Q8">
        <v>625877088.954144</v>
      </c>
      <c r="R8">
        <v>156754</v>
      </c>
      <c r="S8">
        <v>132691</v>
      </c>
      <c r="T8">
        <v>118857</v>
      </c>
      <c r="U8">
        <v>96080</v>
      </c>
      <c r="V8">
        <v>55805</v>
      </c>
      <c r="W8" s="6" t="str">
        <f>VLOOKUP(E8,Segments!$B$1:$C$12,2,0)</f>
        <v>Medium</v>
      </c>
      <c r="Z8" t="s">
        <v>2391</v>
      </c>
    </row>
    <row r="9" spans="1:26" x14ac:dyDescent="0.35">
      <c r="A9" s="1">
        <v>44228</v>
      </c>
      <c r="B9">
        <v>24998823</v>
      </c>
      <c r="C9">
        <v>18661</v>
      </c>
      <c r="D9" t="s">
        <v>31</v>
      </c>
      <c r="E9" t="s">
        <v>39</v>
      </c>
      <c r="F9">
        <v>6979374.3546250798</v>
      </c>
      <c r="G9">
        <v>10486324.328720501</v>
      </c>
      <c r="H9">
        <v>7506629.5271810899</v>
      </c>
      <c r="I9">
        <v>2945169.20797366</v>
      </c>
      <c r="J9">
        <v>561.93796306310196</v>
      </c>
      <c r="K9">
        <v>402.262983075992</v>
      </c>
      <c r="L9">
        <v>157.82483296573901</v>
      </c>
      <c r="M9">
        <v>3753827.06</v>
      </c>
      <c r="N9">
        <v>4707854.46</v>
      </c>
      <c r="O9">
        <v>4939253</v>
      </c>
      <c r="P9">
        <v>3814994</v>
      </c>
      <c r="Q9">
        <v>150898980.45719799</v>
      </c>
      <c r="R9">
        <v>1794</v>
      </c>
      <c r="S9">
        <v>1632</v>
      </c>
      <c r="T9">
        <v>1500</v>
      </c>
      <c r="U9">
        <v>1322</v>
      </c>
      <c r="V9">
        <v>852</v>
      </c>
      <c r="W9" s="6" t="str">
        <f>VLOOKUP(E9,Segments!$B$1:$C$12,2,0)</f>
        <v>VHigh</v>
      </c>
      <c r="Z9" t="s">
        <v>2393</v>
      </c>
    </row>
    <row r="10" spans="1:26" x14ac:dyDescent="0.35">
      <c r="A10" s="1">
        <v>44228</v>
      </c>
      <c r="B10">
        <v>24998823</v>
      </c>
      <c r="C10">
        <v>226778</v>
      </c>
      <c r="D10" t="s">
        <v>31</v>
      </c>
      <c r="E10" t="s">
        <v>40</v>
      </c>
      <c r="F10">
        <v>13820003.234820999</v>
      </c>
      <c r="G10">
        <v>23473532.925982099</v>
      </c>
      <c r="H10">
        <v>13189992.250890899</v>
      </c>
      <c r="I10">
        <v>4796484.5275907395</v>
      </c>
      <c r="J10">
        <v>103.508862967228</v>
      </c>
      <c r="K10">
        <v>58.162574195428803</v>
      </c>
      <c r="L10">
        <v>21.1505724875902</v>
      </c>
      <c r="M10">
        <v>9645476.0099998899</v>
      </c>
      <c r="N10">
        <v>7829878.3918000897</v>
      </c>
      <c r="O10">
        <v>14357180</v>
      </c>
      <c r="P10">
        <v>14373727</v>
      </c>
      <c r="Q10">
        <v>415580481.01681602</v>
      </c>
      <c r="R10">
        <v>50487</v>
      </c>
      <c r="S10">
        <v>43431</v>
      </c>
      <c r="T10">
        <v>39153</v>
      </c>
      <c r="U10">
        <v>32589</v>
      </c>
      <c r="V10">
        <v>19232</v>
      </c>
      <c r="W10" s="6" t="str">
        <f>VLOOKUP(E10,Segments!$B$1:$C$12,2,0)</f>
        <v>Medium</v>
      </c>
      <c r="Z10" t="s">
        <v>2391</v>
      </c>
    </row>
    <row r="11" spans="1:26" x14ac:dyDescent="0.35">
      <c r="A11" s="1">
        <v>44228</v>
      </c>
      <c r="B11">
        <v>24998823</v>
      </c>
      <c r="C11">
        <v>114773</v>
      </c>
      <c r="D11" t="s">
        <v>31</v>
      </c>
      <c r="E11" t="s">
        <v>41</v>
      </c>
      <c r="F11">
        <v>9894306.5251614992</v>
      </c>
      <c r="G11">
        <v>16286878.868586101</v>
      </c>
      <c r="H11">
        <v>9794714.9132440109</v>
      </c>
      <c r="I11">
        <v>3601325.79365467</v>
      </c>
      <c r="J11">
        <v>141.905142050709</v>
      </c>
      <c r="K11">
        <v>85.339887545363595</v>
      </c>
      <c r="L11">
        <v>31.377813541988701</v>
      </c>
      <c r="M11">
        <v>6541965.7099998696</v>
      </c>
      <c r="N11">
        <v>5614148.5300000403</v>
      </c>
      <c r="O11">
        <v>9879655</v>
      </c>
      <c r="P11">
        <v>9017273</v>
      </c>
      <c r="Q11">
        <v>275030474.12438297</v>
      </c>
      <c r="R11">
        <v>21683</v>
      </c>
      <c r="S11">
        <v>18773</v>
      </c>
      <c r="T11">
        <v>16936</v>
      </c>
      <c r="U11">
        <v>14160</v>
      </c>
      <c r="V11">
        <v>8462</v>
      </c>
      <c r="W11" s="6" t="str">
        <f>VLOOKUP(E11,Segments!$B$1:$C$12,2,0)</f>
        <v>Medium</v>
      </c>
      <c r="Z11" t="s">
        <v>2391</v>
      </c>
    </row>
    <row r="12" spans="1:26" x14ac:dyDescent="0.35">
      <c r="A12" s="1">
        <v>44228</v>
      </c>
      <c r="B12">
        <v>24998823</v>
      </c>
      <c r="C12">
        <v>7987</v>
      </c>
      <c r="D12" t="s">
        <v>31</v>
      </c>
      <c r="E12" t="s">
        <v>42</v>
      </c>
      <c r="F12">
        <v>6387649.0510584395</v>
      </c>
      <c r="G12">
        <v>9048940.1384566091</v>
      </c>
      <c r="H12">
        <v>7042143.3391482998</v>
      </c>
      <c r="I12">
        <v>3071863.67557044</v>
      </c>
      <c r="J12">
        <v>1132.9585749914299</v>
      </c>
      <c r="K12">
        <v>881.70068100016204</v>
      </c>
      <c r="L12">
        <v>384.60794736076701</v>
      </c>
      <c r="M12">
        <v>2846476.77999999</v>
      </c>
      <c r="N12">
        <v>4715441.87</v>
      </c>
      <c r="O12">
        <v>3099015</v>
      </c>
      <c r="P12">
        <v>2351614</v>
      </c>
      <c r="Q12">
        <v>122423838.77688199</v>
      </c>
      <c r="R12">
        <v>669</v>
      </c>
      <c r="S12">
        <v>609</v>
      </c>
      <c r="T12">
        <v>539</v>
      </c>
      <c r="U12">
        <v>451</v>
      </c>
      <c r="V12">
        <v>274</v>
      </c>
      <c r="W12" s="6" t="str">
        <f>VLOOKUP(E12,Segments!$B$1:$C$12,2,0)</f>
        <v>VHigh</v>
      </c>
      <c r="Z12" t="s">
        <v>2393</v>
      </c>
    </row>
    <row r="13" spans="1:26" x14ac:dyDescent="0.35">
      <c r="A13" s="1">
        <v>44228</v>
      </c>
      <c r="B13">
        <v>24998823</v>
      </c>
      <c r="C13">
        <v>114225</v>
      </c>
      <c r="D13" t="s">
        <v>31</v>
      </c>
      <c r="E13" t="s">
        <v>43</v>
      </c>
      <c r="F13">
        <v>-125005.781891647</v>
      </c>
      <c r="G13">
        <v>-182304.31944256401</v>
      </c>
      <c r="H13">
        <v>-102566.013604497</v>
      </c>
      <c r="I13">
        <v>-90147.012627881501</v>
      </c>
      <c r="J13">
        <v>-1.5960106757939501</v>
      </c>
      <c r="K13">
        <v>-0.89792964416281595</v>
      </c>
      <c r="L13">
        <v>-0.789205625982766</v>
      </c>
      <c r="M13">
        <v>46717.539999999797</v>
      </c>
      <c r="N13">
        <v>10047.290000000001</v>
      </c>
      <c r="O13">
        <v>215141</v>
      </c>
      <c r="P13">
        <v>149968</v>
      </c>
      <c r="Q13">
        <v>889549782.10987496</v>
      </c>
      <c r="R13">
        <v>43905</v>
      </c>
      <c r="S13">
        <v>40752</v>
      </c>
      <c r="T13">
        <v>38103</v>
      </c>
      <c r="U13">
        <v>28696</v>
      </c>
      <c r="V13">
        <v>19674</v>
      </c>
      <c r="W13" s="6" t="str">
        <f>VLOOKUP(E13,Segments!$B$1:$C$12,2,0)</f>
        <v>Low</v>
      </c>
      <c r="Z13" t="s">
        <v>2390</v>
      </c>
    </row>
    <row r="14" spans="1:26" x14ac:dyDescent="0.35">
      <c r="A14" s="1">
        <v>44228</v>
      </c>
      <c r="B14">
        <v>24998823</v>
      </c>
      <c r="C14">
        <v>1031232</v>
      </c>
      <c r="D14" t="s">
        <v>44</v>
      </c>
      <c r="E14" t="s">
        <v>32</v>
      </c>
      <c r="F14">
        <v>3025596.6037946101</v>
      </c>
      <c r="G14">
        <v>2414604.73093731</v>
      </c>
      <c r="H14">
        <v>2586198.33256413</v>
      </c>
      <c r="I14">
        <v>4075986.74788384</v>
      </c>
      <c r="J14">
        <v>2.3414757600009599</v>
      </c>
      <c r="K14">
        <v>2.5078724598966402</v>
      </c>
      <c r="L14">
        <v>3.9525409877543001</v>
      </c>
      <c r="M14">
        <v>907190.17000001704</v>
      </c>
      <c r="N14">
        <v>448347.16999999102</v>
      </c>
      <c r="O14">
        <v>1677106</v>
      </c>
      <c r="P14">
        <v>14229956</v>
      </c>
      <c r="Q14">
        <v>501274878.24608302</v>
      </c>
      <c r="R14">
        <v>690064</v>
      </c>
      <c r="S14">
        <v>576172</v>
      </c>
      <c r="T14">
        <v>476119</v>
      </c>
      <c r="U14">
        <v>264814</v>
      </c>
      <c r="V14">
        <v>137098</v>
      </c>
      <c r="W14" s="6" t="str">
        <f>VLOOKUP(E14,Segments!$B$1:$C$12,2,0)</f>
        <v>Low</v>
      </c>
      <c r="Z14" t="s">
        <v>2390</v>
      </c>
    </row>
    <row r="15" spans="1:26" x14ac:dyDescent="0.35">
      <c r="A15" s="1">
        <v>44228</v>
      </c>
      <c r="B15">
        <v>24998823</v>
      </c>
      <c r="C15">
        <v>525589</v>
      </c>
      <c r="D15" t="s">
        <v>44</v>
      </c>
      <c r="E15" t="s">
        <v>33</v>
      </c>
      <c r="F15">
        <v>8828997.6092667207</v>
      </c>
      <c r="G15">
        <v>7862243.4520495199</v>
      </c>
      <c r="H15">
        <v>7995789.3541188501</v>
      </c>
      <c r="I15">
        <v>10628960.0216332</v>
      </c>
      <c r="J15">
        <v>14.9589193305977</v>
      </c>
      <c r="K15">
        <v>15.2130074147648</v>
      </c>
      <c r="L15">
        <v>20.222949912637599</v>
      </c>
      <c r="M15">
        <v>3054607.6299998001</v>
      </c>
      <c r="N15">
        <v>2101131.3009000798</v>
      </c>
      <c r="O15">
        <v>5788184</v>
      </c>
      <c r="P15">
        <v>18751927</v>
      </c>
      <c r="Q15">
        <v>144050704.531746</v>
      </c>
      <c r="R15">
        <v>204713</v>
      </c>
      <c r="S15">
        <v>156278</v>
      </c>
      <c r="T15">
        <v>127014</v>
      </c>
      <c r="U15">
        <v>81335</v>
      </c>
      <c r="V15">
        <v>39827</v>
      </c>
      <c r="W15" s="6" t="str">
        <f>VLOOKUP(E15,Segments!$B$1:$C$12,2,0)</f>
        <v>Low</v>
      </c>
      <c r="Z15" t="s">
        <v>2390</v>
      </c>
    </row>
    <row r="16" spans="1:26" x14ac:dyDescent="0.35">
      <c r="A16" s="1">
        <v>44228</v>
      </c>
      <c r="B16">
        <v>24998823</v>
      </c>
      <c r="C16">
        <v>147765</v>
      </c>
      <c r="D16" t="s">
        <v>44</v>
      </c>
      <c r="E16" t="s">
        <v>34</v>
      </c>
      <c r="F16">
        <v>16516154.9300771</v>
      </c>
      <c r="G16">
        <v>16396513.7332005</v>
      </c>
      <c r="H16">
        <v>16459566.158425201</v>
      </c>
      <c r="I16">
        <v>16692384.8986056</v>
      </c>
      <c r="J16">
        <v>110.963446913684</v>
      </c>
      <c r="K16">
        <v>111.390154356073</v>
      </c>
      <c r="L16">
        <v>112.9657557514</v>
      </c>
      <c r="M16">
        <v>5127447.4799999204</v>
      </c>
      <c r="N16">
        <v>6217551.1109000398</v>
      </c>
      <c r="O16">
        <v>8599250</v>
      </c>
      <c r="P16">
        <v>17521192</v>
      </c>
      <c r="Q16">
        <v>204674477.79559299</v>
      </c>
      <c r="R16">
        <v>12681</v>
      </c>
      <c r="S16">
        <v>9620</v>
      </c>
      <c r="T16">
        <v>7900</v>
      </c>
      <c r="U16">
        <v>6127</v>
      </c>
      <c r="V16">
        <v>3305</v>
      </c>
      <c r="W16" s="6" t="str">
        <f>VLOOKUP(E16,Segments!$B$1:$C$12,2,0)</f>
        <v>Medium</v>
      </c>
      <c r="Z16" t="s">
        <v>2391</v>
      </c>
    </row>
    <row r="17" spans="1:26" x14ac:dyDescent="0.35">
      <c r="A17" s="1">
        <v>44228</v>
      </c>
      <c r="B17">
        <v>24998823</v>
      </c>
      <c r="C17">
        <v>105900</v>
      </c>
      <c r="D17" t="s">
        <v>44</v>
      </c>
      <c r="E17" t="s">
        <v>35</v>
      </c>
      <c r="F17">
        <v>14488263.8691018</v>
      </c>
      <c r="G17">
        <v>14457115.984259199</v>
      </c>
      <c r="H17">
        <v>14500540.596999601</v>
      </c>
      <c r="I17">
        <v>14507135.026046701</v>
      </c>
      <c r="J17">
        <v>136.51667596089899</v>
      </c>
      <c r="K17">
        <v>136.92672896128099</v>
      </c>
      <c r="L17">
        <v>136.988999301669</v>
      </c>
      <c r="M17">
        <v>4418665.7999999505</v>
      </c>
      <c r="N17">
        <v>5555397.7509000199</v>
      </c>
      <c r="O17">
        <v>7648161</v>
      </c>
      <c r="P17">
        <v>14070521</v>
      </c>
      <c r="Q17">
        <v>177189225.84945399</v>
      </c>
      <c r="R17">
        <v>7578</v>
      </c>
      <c r="S17">
        <v>5905</v>
      </c>
      <c r="T17">
        <v>4853</v>
      </c>
      <c r="U17">
        <v>3850</v>
      </c>
      <c r="V17">
        <v>2120</v>
      </c>
      <c r="W17" s="6" t="str">
        <f>VLOOKUP(E17,Segments!$B$1:$C$12,2,0)</f>
        <v>High</v>
      </c>
      <c r="Z17" t="s">
        <v>2392</v>
      </c>
    </row>
    <row r="18" spans="1:26" x14ac:dyDescent="0.35">
      <c r="A18" s="1">
        <v>44228</v>
      </c>
      <c r="B18">
        <v>24998823</v>
      </c>
      <c r="C18">
        <v>136800</v>
      </c>
      <c r="D18" t="s">
        <v>44</v>
      </c>
      <c r="E18" t="s">
        <v>36</v>
      </c>
      <c r="F18">
        <v>23625305.762217801</v>
      </c>
      <c r="G18">
        <v>23702776.630633801</v>
      </c>
      <c r="H18">
        <v>23660263.5404393</v>
      </c>
      <c r="I18">
        <v>23512877.115580302</v>
      </c>
      <c r="J18">
        <v>173.265911042645</v>
      </c>
      <c r="K18">
        <v>172.95514283946801</v>
      </c>
      <c r="L18">
        <v>171.87775669283801</v>
      </c>
      <c r="M18">
        <v>6946743.1699999198</v>
      </c>
      <c r="N18">
        <v>9348952.5108999908</v>
      </c>
      <c r="O18">
        <v>12532353</v>
      </c>
      <c r="P18">
        <v>20675457</v>
      </c>
      <c r="Q18">
        <v>287599513.32980502</v>
      </c>
      <c r="R18">
        <v>8099</v>
      </c>
      <c r="S18">
        <v>6281</v>
      </c>
      <c r="T18">
        <v>5151</v>
      </c>
      <c r="U18">
        <v>3991</v>
      </c>
      <c r="V18">
        <v>2275</v>
      </c>
      <c r="W18" s="6" t="str">
        <f>VLOOKUP(E18,Segments!$B$1:$C$12,2,0)</f>
        <v>High</v>
      </c>
      <c r="Z18" t="s">
        <v>2392</v>
      </c>
    </row>
    <row r="19" spans="1:26" x14ac:dyDescent="0.35">
      <c r="A19" s="1">
        <v>44228</v>
      </c>
      <c r="B19">
        <v>24998823</v>
      </c>
      <c r="C19">
        <v>136033</v>
      </c>
      <c r="D19" t="s">
        <v>44</v>
      </c>
      <c r="E19" t="s">
        <v>37</v>
      </c>
      <c r="F19">
        <v>33024147.570412401</v>
      </c>
      <c r="G19">
        <v>33259141.3208584</v>
      </c>
      <c r="H19">
        <v>33118220.444815502</v>
      </c>
      <c r="I19">
        <v>32695080.9455637</v>
      </c>
      <c r="J19">
        <v>244.49318416015501</v>
      </c>
      <c r="K19">
        <v>243.45725261381801</v>
      </c>
      <c r="L19">
        <v>240.346687535846</v>
      </c>
      <c r="M19">
        <v>9419073.5100000091</v>
      </c>
      <c r="N19">
        <v>13482246.5717999</v>
      </c>
      <c r="O19">
        <v>17708864</v>
      </c>
      <c r="P19">
        <v>24241001</v>
      </c>
      <c r="Q19">
        <v>386900877.56818002</v>
      </c>
      <c r="R19">
        <v>6007</v>
      </c>
      <c r="S19">
        <v>4697</v>
      </c>
      <c r="T19">
        <v>3905</v>
      </c>
      <c r="U19">
        <v>3146</v>
      </c>
      <c r="V19">
        <v>1691</v>
      </c>
      <c r="W19" s="6" t="str">
        <f>VLOOKUP(E19,Segments!$B$1:$C$12,2,0)</f>
        <v>High</v>
      </c>
      <c r="Z19" t="s">
        <v>2392</v>
      </c>
    </row>
    <row r="20" spans="1:26" x14ac:dyDescent="0.35">
      <c r="A20" s="1">
        <v>44228</v>
      </c>
      <c r="B20">
        <v>24998823</v>
      </c>
      <c r="C20">
        <v>523516</v>
      </c>
      <c r="D20" t="s">
        <v>44</v>
      </c>
      <c r="E20" t="s">
        <v>38</v>
      </c>
      <c r="F20">
        <v>19055532.756257799</v>
      </c>
      <c r="G20">
        <v>17936604.9523068</v>
      </c>
      <c r="H20">
        <v>18234137.4784819</v>
      </c>
      <c r="I20">
        <v>20995855.837986</v>
      </c>
      <c r="J20">
        <v>34.2618085260181</v>
      </c>
      <c r="K20">
        <v>34.830143641229597</v>
      </c>
      <c r="L20">
        <v>40.105471156537803</v>
      </c>
      <c r="M20">
        <v>6616588.7999993302</v>
      </c>
      <c r="N20">
        <v>5679406.0300001502</v>
      </c>
      <c r="O20">
        <v>11219160</v>
      </c>
      <c r="P20">
        <v>30459480</v>
      </c>
      <c r="Q20">
        <v>263600671.99525601</v>
      </c>
      <c r="R20">
        <v>123899</v>
      </c>
      <c r="S20">
        <v>92724</v>
      </c>
      <c r="T20">
        <v>75341</v>
      </c>
      <c r="U20">
        <v>53326</v>
      </c>
      <c r="V20">
        <v>26101</v>
      </c>
      <c r="W20" s="6" t="str">
        <f>VLOOKUP(E20,Segments!$B$1:$C$12,2,0)</f>
        <v>Medium</v>
      </c>
      <c r="Z20" t="s">
        <v>2391</v>
      </c>
    </row>
    <row r="21" spans="1:26" x14ac:dyDescent="0.35">
      <c r="A21" s="1">
        <v>44228</v>
      </c>
      <c r="B21">
        <v>24998823</v>
      </c>
      <c r="C21">
        <v>95244</v>
      </c>
      <c r="D21" t="s">
        <v>44</v>
      </c>
      <c r="E21" t="s">
        <v>39</v>
      </c>
      <c r="F21">
        <v>36173549.412644401</v>
      </c>
      <c r="G21">
        <v>36696087.453901</v>
      </c>
      <c r="H21">
        <v>36135894.981107503</v>
      </c>
      <c r="I21">
        <v>35688665.8029247</v>
      </c>
      <c r="J21">
        <v>385.28503059406398</v>
      </c>
      <c r="K21">
        <v>379.403374292423</v>
      </c>
      <c r="L21">
        <v>374.70775904964898</v>
      </c>
      <c r="M21">
        <v>10081712.609999999</v>
      </c>
      <c r="N21">
        <v>15599206.6126999</v>
      </c>
      <c r="O21">
        <v>19149529</v>
      </c>
      <c r="P21">
        <v>21007946</v>
      </c>
      <c r="Q21">
        <v>393648921.68808103</v>
      </c>
      <c r="R21">
        <v>2897</v>
      </c>
      <c r="S21">
        <v>2348</v>
      </c>
      <c r="T21">
        <v>1955</v>
      </c>
      <c r="U21">
        <v>1628</v>
      </c>
      <c r="V21">
        <v>979</v>
      </c>
      <c r="W21" s="6" t="str">
        <f>VLOOKUP(E21,Segments!$B$1:$C$12,2,0)</f>
        <v>VHigh</v>
      </c>
      <c r="Z21" t="s">
        <v>2393</v>
      </c>
    </row>
    <row r="22" spans="1:26" x14ac:dyDescent="0.35">
      <c r="A22" s="1">
        <v>44228</v>
      </c>
      <c r="B22">
        <v>24998823</v>
      </c>
      <c r="C22">
        <v>325910</v>
      </c>
      <c r="D22" t="s">
        <v>44</v>
      </c>
      <c r="E22" t="s">
        <v>40</v>
      </c>
      <c r="F22">
        <v>20071305.461046699</v>
      </c>
      <c r="G22">
        <v>19471685.289147299</v>
      </c>
      <c r="H22">
        <v>19685013.941256799</v>
      </c>
      <c r="I22">
        <v>21057217.1527366</v>
      </c>
      <c r="J22">
        <v>59.745590160312197</v>
      </c>
      <c r="K22">
        <v>60.400153236343698</v>
      </c>
      <c r="L22">
        <v>64.610527914874197</v>
      </c>
      <c r="M22">
        <v>6687057.23999965</v>
      </c>
      <c r="N22">
        <v>6885182.0909000998</v>
      </c>
      <c r="O22">
        <v>10696497</v>
      </c>
      <c r="P22">
        <v>26443758</v>
      </c>
      <c r="Q22">
        <v>265291757.27155399</v>
      </c>
      <c r="R22">
        <v>48777</v>
      </c>
      <c r="S22">
        <v>36208</v>
      </c>
      <c r="T22">
        <v>29569</v>
      </c>
      <c r="U22">
        <v>22235</v>
      </c>
      <c r="V22">
        <v>11273</v>
      </c>
      <c r="W22" s="6" t="str">
        <f>VLOOKUP(E22,Segments!$B$1:$C$12,2,0)</f>
        <v>Medium</v>
      </c>
      <c r="Z22" t="s">
        <v>2391</v>
      </c>
    </row>
    <row r="23" spans="1:26" x14ac:dyDescent="0.35">
      <c r="A23" s="1">
        <v>44228</v>
      </c>
      <c r="B23">
        <v>24998823</v>
      </c>
      <c r="C23">
        <v>214569</v>
      </c>
      <c r="D23" t="s">
        <v>44</v>
      </c>
      <c r="E23" t="s">
        <v>41</v>
      </c>
      <c r="F23">
        <v>18602323.880293701</v>
      </c>
      <c r="G23">
        <v>18334212.2889295</v>
      </c>
      <c r="H23">
        <v>18465758.5041916</v>
      </c>
      <c r="I23">
        <v>19007000.847759999</v>
      </c>
      <c r="J23">
        <v>85.446696815148002</v>
      </c>
      <c r="K23">
        <v>86.059768672043106</v>
      </c>
      <c r="L23">
        <v>88.582231579398893</v>
      </c>
      <c r="M23">
        <v>5964186.3299997998</v>
      </c>
      <c r="N23">
        <v>6785844.0536000701</v>
      </c>
      <c r="O23">
        <v>9613399</v>
      </c>
      <c r="P23">
        <v>21824337</v>
      </c>
      <c r="Q23">
        <v>237091615.69664499</v>
      </c>
      <c r="R23">
        <v>23182</v>
      </c>
      <c r="S23">
        <v>17502</v>
      </c>
      <c r="T23">
        <v>14303</v>
      </c>
      <c r="U23">
        <v>11017</v>
      </c>
      <c r="V23">
        <v>5803</v>
      </c>
      <c r="W23" s="6" t="str">
        <f>VLOOKUP(E23,Segments!$B$1:$C$12,2,0)</f>
        <v>Medium</v>
      </c>
      <c r="Z23" t="s">
        <v>2391</v>
      </c>
    </row>
    <row r="24" spans="1:26" x14ac:dyDescent="0.35">
      <c r="A24" s="1">
        <v>44228</v>
      </c>
      <c r="B24">
        <v>24998823</v>
      </c>
      <c r="C24">
        <v>58779</v>
      </c>
      <c r="D24" t="s">
        <v>44</v>
      </c>
      <c r="E24" t="s">
        <v>42</v>
      </c>
      <c r="F24">
        <v>46819100.912723802</v>
      </c>
      <c r="G24">
        <v>48223070.106115401</v>
      </c>
      <c r="H24">
        <v>46101111.430172898</v>
      </c>
      <c r="I24">
        <v>46133121.201883398</v>
      </c>
      <c r="J24">
        <v>820.41324463014701</v>
      </c>
      <c r="K24">
        <v>784.31261896549597</v>
      </c>
      <c r="L24">
        <v>784.85719733039696</v>
      </c>
      <c r="M24">
        <v>13937553.34</v>
      </c>
      <c r="N24">
        <v>23242456.152699899</v>
      </c>
      <c r="O24">
        <v>20759681</v>
      </c>
      <c r="P24">
        <v>18137472</v>
      </c>
      <c r="Q24">
        <v>501651564.41780001</v>
      </c>
      <c r="R24">
        <v>1130</v>
      </c>
      <c r="S24">
        <v>894</v>
      </c>
      <c r="T24">
        <v>753</v>
      </c>
      <c r="U24">
        <v>616</v>
      </c>
      <c r="V24">
        <v>385</v>
      </c>
      <c r="W24" s="6" t="str">
        <f>VLOOKUP(E24,Segments!$B$1:$C$12,2,0)</f>
        <v>VHigh</v>
      </c>
      <c r="Z24" t="s">
        <v>2393</v>
      </c>
    </row>
    <row r="25" spans="1:26" x14ac:dyDescent="0.35">
      <c r="A25" s="1">
        <v>44228</v>
      </c>
      <c r="B25">
        <v>24998823</v>
      </c>
      <c r="C25">
        <v>15567</v>
      </c>
      <c r="D25" t="s">
        <v>44</v>
      </c>
      <c r="E25" t="s">
        <v>43</v>
      </c>
      <c r="F25">
        <v>-70089.340477682199</v>
      </c>
      <c r="G25">
        <v>-74597.738937742499</v>
      </c>
      <c r="H25">
        <v>-65481.787181744803</v>
      </c>
      <c r="I25">
        <v>-70188.495313559004</v>
      </c>
      <c r="J25">
        <v>-4.7920433569565404</v>
      </c>
      <c r="K25">
        <v>-4.2064487172701703</v>
      </c>
      <c r="L25">
        <v>-4.5088003670301902</v>
      </c>
      <c r="M25">
        <v>12523.47</v>
      </c>
      <c r="N25">
        <v>5786.03999999999</v>
      </c>
      <c r="O25">
        <v>27564</v>
      </c>
      <c r="P25">
        <v>84266</v>
      </c>
      <c r="Q25">
        <v>720652302.90063202</v>
      </c>
      <c r="R25">
        <v>6579</v>
      </c>
      <c r="S25">
        <v>5882</v>
      </c>
      <c r="T25">
        <v>4833</v>
      </c>
      <c r="U25">
        <v>3087</v>
      </c>
      <c r="V25">
        <v>2240</v>
      </c>
      <c r="W25" s="6" t="str">
        <f>VLOOKUP(E25,Segments!$B$1:$C$12,2,0)</f>
        <v>Low</v>
      </c>
      <c r="Z25" t="s">
        <v>2390</v>
      </c>
    </row>
    <row r="26" spans="1:26" x14ac:dyDescent="0.35">
      <c r="A26" s="1">
        <v>44228</v>
      </c>
      <c r="B26">
        <v>24998823</v>
      </c>
      <c r="C26">
        <v>1523993</v>
      </c>
      <c r="D26" t="s">
        <v>45</v>
      </c>
      <c r="E26" t="s">
        <v>32</v>
      </c>
      <c r="F26">
        <v>4118810.3659062702</v>
      </c>
      <c r="G26">
        <v>2612132.52948137</v>
      </c>
      <c r="H26">
        <v>3176401.0018632198</v>
      </c>
      <c r="I26">
        <v>6567897.5663804803</v>
      </c>
      <c r="J26">
        <v>1.7140055954859199</v>
      </c>
      <c r="K26">
        <v>2.08426219927731</v>
      </c>
      <c r="L26">
        <v>4.3096638674721497</v>
      </c>
      <c r="M26">
        <v>1103183.77999998</v>
      </c>
      <c r="N26">
        <v>516354.67999999202</v>
      </c>
      <c r="O26">
        <v>2115765</v>
      </c>
      <c r="P26">
        <v>9625341</v>
      </c>
      <c r="Q26">
        <v>430005602.49894798</v>
      </c>
      <c r="R26">
        <v>1225831</v>
      </c>
      <c r="S26">
        <v>1101307</v>
      </c>
      <c r="T26">
        <v>927959</v>
      </c>
      <c r="U26">
        <v>440034</v>
      </c>
      <c r="V26">
        <v>215046</v>
      </c>
      <c r="W26" s="6" t="str">
        <f>VLOOKUP(E26,Segments!$B$1:$C$12,2,0)</f>
        <v>Low</v>
      </c>
      <c r="Z26" t="s">
        <v>2390</v>
      </c>
    </row>
    <row r="27" spans="1:26" x14ac:dyDescent="0.35">
      <c r="A27" s="1">
        <v>44228</v>
      </c>
      <c r="B27">
        <v>24998823</v>
      </c>
      <c r="C27">
        <v>611369</v>
      </c>
      <c r="D27" t="s">
        <v>45</v>
      </c>
      <c r="E27" t="s">
        <v>33</v>
      </c>
      <c r="F27">
        <v>9960164.0834476706</v>
      </c>
      <c r="G27">
        <v>7533148.4499452002</v>
      </c>
      <c r="H27">
        <v>8381267.5288535701</v>
      </c>
      <c r="I27">
        <v>13966076.2715481</v>
      </c>
      <c r="J27">
        <v>12.321770403708999</v>
      </c>
      <c r="K27">
        <v>13.709016206012301</v>
      </c>
      <c r="L27">
        <v>22.8439392110953</v>
      </c>
      <c r="M27">
        <v>3067761.06999976</v>
      </c>
      <c r="N27">
        <v>2004641.0400000501</v>
      </c>
      <c r="O27">
        <v>5983703</v>
      </c>
      <c r="P27">
        <v>10879614</v>
      </c>
      <c r="Q27">
        <v>164865976.11620599</v>
      </c>
      <c r="R27">
        <v>357679</v>
      </c>
      <c r="S27">
        <v>309366</v>
      </c>
      <c r="T27">
        <v>275390</v>
      </c>
      <c r="U27">
        <v>160597</v>
      </c>
      <c r="V27">
        <v>75590</v>
      </c>
      <c r="W27" s="6" t="str">
        <f>VLOOKUP(E27,Segments!$B$1:$C$12,2,0)</f>
        <v>Low</v>
      </c>
      <c r="Z27" t="s">
        <v>2390</v>
      </c>
    </row>
    <row r="28" spans="1:26" x14ac:dyDescent="0.35">
      <c r="A28" s="1">
        <v>44228</v>
      </c>
      <c r="B28">
        <v>24998823</v>
      </c>
      <c r="C28">
        <v>99269</v>
      </c>
      <c r="D28" t="s">
        <v>45</v>
      </c>
      <c r="E28" t="s">
        <v>34</v>
      </c>
      <c r="F28">
        <v>11078773.861659</v>
      </c>
      <c r="G28">
        <v>10512103.9025447</v>
      </c>
      <c r="H28">
        <v>11043082.5058043</v>
      </c>
      <c r="I28">
        <v>11681135.1766279</v>
      </c>
      <c r="J28">
        <v>105.89513244361</v>
      </c>
      <c r="K28">
        <v>111.24401883573201</v>
      </c>
      <c r="L28">
        <v>117.67153065537001</v>
      </c>
      <c r="M28">
        <v>3926654.10999995</v>
      </c>
      <c r="N28">
        <v>3602129.5000000098</v>
      </c>
      <c r="O28">
        <v>7140781</v>
      </c>
      <c r="P28">
        <v>8909441</v>
      </c>
      <c r="Q28">
        <v>165720787.90605</v>
      </c>
      <c r="R28">
        <v>19045</v>
      </c>
      <c r="S28">
        <v>16020</v>
      </c>
      <c r="T28">
        <v>14206</v>
      </c>
      <c r="U28">
        <v>11376</v>
      </c>
      <c r="V28">
        <v>6340</v>
      </c>
      <c r="W28" s="6" t="str">
        <f>VLOOKUP(E28,Segments!$B$1:$C$12,2,0)</f>
        <v>Medium</v>
      </c>
      <c r="Z28" t="s">
        <v>2391</v>
      </c>
    </row>
    <row r="29" spans="1:26" x14ac:dyDescent="0.35">
      <c r="A29" s="1">
        <v>44228</v>
      </c>
      <c r="B29">
        <v>24998823</v>
      </c>
      <c r="C29">
        <v>66076</v>
      </c>
      <c r="D29" t="s">
        <v>45</v>
      </c>
      <c r="E29" t="s">
        <v>35</v>
      </c>
      <c r="F29">
        <v>9029276.5098525696</v>
      </c>
      <c r="G29">
        <v>8706278.2472579293</v>
      </c>
      <c r="H29">
        <v>9031129.9614002891</v>
      </c>
      <c r="I29">
        <v>9350421.3208995201</v>
      </c>
      <c r="J29">
        <v>131.76158131935799</v>
      </c>
      <c r="K29">
        <v>136.67791575459</v>
      </c>
      <c r="L29">
        <v>141.51009929323001</v>
      </c>
      <c r="M29">
        <v>3201914.4099999899</v>
      </c>
      <c r="N29">
        <v>3029454.9208999998</v>
      </c>
      <c r="O29">
        <v>5922737</v>
      </c>
      <c r="P29">
        <v>6851199</v>
      </c>
      <c r="Q29">
        <v>132765071.896936</v>
      </c>
      <c r="R29">
        <v>11242</v>
      </c>
      <c r="S29">
        <v>9505</v>
      </c>
      <c r="T29">
        <v>8371</v>
      </c>
      <c r="U29">
        <v>6738</v>
      </c>
      <c r="V29">
        <v>3790</v>
      </c>
      <c r="W29" s="6" t="str">
        <f>VLOOKUP(E29,Segments!$B$1:$C$12,2,0)</f>
        <v>High</v>
      </c>
      <c r="Z29" t="s">
        <v>2392</v>
      </c>
    </row>
    <row r="30" spans="1:26" x14ac:dyDescent="0.35">
      <c r="A30" s="1">
        <v>44228</v>
      </c>
      <c r="B30">
        <v>24998823</v>
      </c>
      <c r="C30">
        <v>79528</v>
      </c>
      <c r="D30" t="s">
        <v>45</v>
      </c>
      <c r="E30" t="s">
        <v>36</v>
      </c>
      <c r="F30">
        <v>13695405.323764</v>
      </c>
      <c r="G30">
        <v>13399427.039037799</v>
      </c>
      <c r="H30">
        <v>13719843.8622512</v>
      </c>
      <c r="I30">
        <v>13966945.0700029</v>
      </c>
      <c r="J30">
        <v>168.48691076146599</v>
      </c>
      <c r="K30">
        <v>172.515892041184</v>
      </c>
      <c r="L30">
        <v>175.62298901019699</v>
      </c>
      <c r="M30">
        <v>4922184.0599999595</v>
      </c>
      <c r="N30">
        <v>4728523.8209000099</v>
      </c>
      <c r="O30">
        <v>9071419</v>
      </c>
      <c r="P30">
        <v>9603130</v>
      </c>
      <c r="Q30">
        <v>199083844.83686301</v>
      </c>
      <c r="R30">
        <v>11844</v>
      </c>
      <c r="S30">
        <v>9975</v>
      </c>
      <c r="T30">
        <v>8838</v>
      </c>
      <c r="U30">
        <v>7223</v>
      </c>
      <c r="V30">
        <v>4168</v>
      </c>
      <c r="W30" s="6" t="str">
        <f>VLOOKUP(E30,Segments!$B$1:$C$12,2,0)</f>
        <v>High</v>
      </c>
      <c r="Z30" t="s">
        <v>2392</v>
      </c>
    </row>
    <row r="31" spans="1:26" x14ac:dyDescent="0.35">
      <c r="A31" s="1">
        <v>44228</v>
      </c>
      <c r="B31">
        <v>24998823</v>
      </c>
      <c r="C31">
        <v>69582</v>
      </c>
      <c r="D31" t="s">
        <v>45</v>
      </c>
      <c r="E31" t="s">
        <v>37</v>
      </c>
      <c r="F31">
        <v>16819520.799621999</v>
      </c>
      <c r="G31">
        <v>16800413.8583478</v>
      </c>
      <c r="H31">
        <v>16856821.976252101</v>
      </c>
      <c r="I31">
        <v>16801326.564266101</v>
      </c>
      <c r="J31">
        <v>241.44769995613501</v>
      </c>
      <c r="K31">
        <v>242.258371076602</v>
      </c>
      <c r="L31">
        <v>241.46081693923799</v>
      </c>
      <c r="M31">
        <v>5980909.77999999</v>
      </c>
      <c r="N31">
        <v>6195517.9200000102</v>
      </c>
      <c r="O31">
        <v>11124969</v>
      </c>
      <c r="P31">
        <v>10442450</v>
      </c>
      <c r="Q31">
        <v>242264157.495289</v>
      </c>
      <c r="R31">
        <v>8322</v>
      </c>
      <c r="S31">
        <v>7063</v>
      </c>
      <c r="T31">
        <v>6244</v>
      </c>
      <c r="U31">
        <v>5132</v>
      </c>
      <c r="V31">
        <v>3047</v>
      </c>
      <c r="W31" s="6" t="str">
        <f>VLOOKUP(E31,Segments!$B$1:$C$12,2,0)</f>
        <v>High</v>
      </c>
      <c r="Z31" t="s">
        <v>2392</v>
      </c>
    </row>
    <row r="32" spans="1:26" x14ac:dyDescent="0.35">
      <c r="A32" s="1">
        <v>44228</v>
      </c>
      <c r="B32">
        <v>24998823</v>
      </c>
      <c r="C32">
        <v>488583</v>
      </c>
      <c r="D32" t="s">
        <v>45</v>
      </c>
      <c r="E32" t="s">
        <v>38</v>
      </c>
      <c r="F32">
        <v>17597041.8140455</v>
      </c>
      <c r="G32">
        <v>15032598.418943901</v>
      </c>
      <c r="H32">
        <v>16451487.805598199</v>
      </c>
      <c r="I32">
        <v>21307039.217596699</v>
      </c>
      <c r="J32">
        <v>30.767747586272801</v>
      </c>
      <c r="K32">
        <v>33.671838368502797</v>
      </c>
      <c r="L32">
        <v>43.609866118134903</v>
      </c>
      <c r="M32">
        <v>5998749.4299993701</v>
      </c>
      <c r="N32">
        <v>4608319.9909001198</v>
      </c>
      <c r="O32">
        <v>10696039</v>
      </c>
      <c r="P32">
        <v>17616832</v>
      </c>
      <c r="Q32">
        <v>272421672.62926298</v>
      </c>
      <c r="R32">
        <v>194934</v>
      </c>
      <c r="S32">
        <v>163518</v>
      </c>
      <c r="T32">
        <v>144529</v>
      </c>
      <c r="U32">
        <v>101879</v>
      </c>
      <c r="V32">
        <v>49467</v>
      </c>
      <c r="W32" s="6" t="str">
        <f>VLOOKUP(E32,Segments!$B$1:$C$12,2,0)</f>
        <v>Medium</v>
      </c>
      <c r="Z32" t="s">
        <v>2391</v>
      </c>
    </row>
    <row r="33" spans="1:26" x14ac:dyDescent="0.35">
      <c r="A33" s="1">
        <v>44228</v>
      </c>
      <c r="B33">
        <v>24998823</v>
      </c>
      <c r="C33">
        <v>41986</v>
      </c>
      <c r="D33" t="s">
        <v>45</v>
      </c>
      <c r="E33" t="s">
        <v>39</v>
      </c>
      <c r="F33">
        <v>15814193.9848198</v>
      </c>
      <c r="G33">
        <v>16111528.265006799</v>
      </c>
      <c r="H33">
        <v>15810254.6174039</v>
      </c>
      <c r="I33">
        <v>15520799.0720488</v>
      </c>
      <c r="J33">
        <v>383.73572774274197</v>
      </c>
      <c r="K33">
        <v>376.56015379897798</v>
      </c>
      <c r="L33">
        <v>369.66605706780501</v>
      </c>
      <c r="M33">
        <v>5618471.54999997</v>
      </c>
      <c r="N33">
        <v>6388121.3400000101</v>
      </c>
      <c r="O33">
        <v>9878584</v>
      </c>
      <c r="P33">
        <v>8253473</v>
      </c>
      <c r="Q33">
        <v>216767545.00587001</v>
      </c>
      <c r="R33">
        <v>3751</v>
      </c>
      <c r="S33">
        <v>3219</v>
      </c>
      <c r="T33">
        <v>2842</v>
      </c>
      <c r="U33">
        <v>2398</v>
      </c>
      <c r="V33">
        <v>1477</v>
      </c>
      <c r="W33" s="6" t="str">
        <f>VLOOKUP(E33,Segments!$B$1:$C$12,2,0)</f>
        <v>VHigh</v>
      </c>
      <c r="Z33" t="s">
        <v>2393</v>
      </c>
    </row>
    <row r="34" spans="1:26" x14ac:dyDescent="0.35">
      <c r="A34" s="1">
        <v>44228</v>
      </c>
      <c r="B34">
        <v>24998823</v>
      </c>
      <c r="C34">
        <v>262268</v>
      </c>
      <c r="D34" t="s">
        <v>45</v>
      </c>
      <c r="E34" t="s">
        <v>40</v>
      </c>
      <c r="F34">
        <v>16095084.506738899</v>
      </c>
      <c r="G34">
        <v>14475174.933059299</v>
      </c>
      <c r="H34">
        <v>15655491.886292901</v>
      </c>
      <c r="I34">
        <v>18154586.700865</v>
      </c>
      <c r="J34">
        <v>55.192303037577197</v>
      </c>
      <c r="K34">
        <v>59.692726090460603</v>
      </c>
      <c r="L34">
        <v>69.221508917843593</v>
      </c>
      <c r="M34">
        <v>5651882.6499997396</v>
      </c>
      <c r="N34">
        <v>4758465.7500000596</v>
      </c>
      <c r="O34">
        <v>9665654</v>
      </c>
      <c r="P34">
        <v>14774765</v>
      </c>
      <c r="Q34">
        <v>243456155.074918</v>
      </c>
      <c r="R34">
        <v>75432</v>
      </c>
      <c r="S34">
        <v>63074</v>
      </c>
      <c r="T34">
        <v>55669</v>
      </c>
      <c r="U34">
        <v>42292</v>
      </c>
      <c r="V34">
        <v>21577</v>
      </c>
      <c r="W34" s="6" t="str">
        <f>VLOOKUP(E34,Segments!$B$1:$C$12,2,0)</f>
        <v>Medium</v>
      </c>
      <c r="Z34" t="s">
        <v>2391</v>
      </c>
    </row>
    <row r="35" spans="1:26" x14ac:dyDescent="0.35">
      <c r="A35" s="1">
        <v>44228</v>
      </c>
      <c r="B35">
        <v>24998823</v>
      </c>
      <c r="C35">
        <v>155880</v>
      </c>
      <c r="D35" t="s">
        <v>45</v>
      </c>
      <c r="E35" t="s">
        <v>41</v>
      </c>
      <c r="F35">
        <v>13483533.5900426</v>
      </c>
      <c r="G35">
        <v>12520627.403354401</v>
      </c>
      <c r="H35">
        <v>13333339.8643618</v>
      </c>
      <c r="I35">
        <v>14596633.5024119</v>
      </c>
      <c r="J35">
        <v>80.322218394626802</v>
      </c>
      <c r="K35">
        <v>85.5359242004224</v>
      </c>
      <c r="L35">
        <v>93.640194395765604</v>
      </c>
      <c r="M35">
        <v>4754683.1999999201</v>
      </c>
      <c r="N35">
        <v>4243082.4709000299</v>
      </c>
      <c r="O35">
        <v>8456721</v>
      </c>
      <c r="P35">
        <v>11514168</v>
      </c>
      <c r="Q35">
        <v>200537782.83456501</v>
      </c>
      <c r="R35">
        <v>35961</v>
      </c>
      <c r="S35">
        <v>30059</v>
      </c>
      <c r="T35">
        <v>26639</v>
      </c>
      <c r="U35">
        <v>20891</v>
      </c>
      <c r="V35">
        <v>11170</v>
      </c>
      <c r="W35" s="6" t="str">
        <f>VLOOKUP(E35,Segments!$B$1:$C$12,2,0)</f>
        <v>Medium</v>
      </c>
      <c r="Z35" t="s">
        <v>2391</v>
      </c>
    </row>
    <row r="36" spans="1:26" x14ac:dyDescent="0.35">
      <c r="A36" s="1">
        <v>44228</v>
      </c>
      <c r="B36">
        <v>24998823</v>
      </c>
      <c r="C36">
        <v>21234</v>
      </c>
      <c r="D36" t="s">
        <v>45</v>
      </c>
      <c r="E36" t="s">
        <v>42</v>
      </c>
      <c r="F36">
        <v>16493759.508958699</v>
      </c>
      <c r="G36">
        <v>16972476.072350901</v>
      </c>
      <c r="H36">
        <v>16184482.5611597</v>
      </c>
      <c r="I36">
        <v>16324319.8933657</v>
      </c>
      <c r="J36">
        <v>799.30658718804398</v>
      </c>
      <c r="K36">
        <v>762.19659796362896</v>
      </c>
      <c r="L36">
        <v>768.78213682611602</v>
      </c>
      <c r="M36">
        <v>5854713.6099999798</v>
      </c>
      <c r="N36">
        <v>7971318.0099999905</v>
      </c>
      <c r="O36">
        <v>8020566</v>
      </c>
      <c r="P36">
        <v>6484613</v>
      </c>
      <c r="Q36">
        <v>226998738.963626</v>
      </c>
      <c r="R36">
        <v>1364</v>
      </c>
      <c r="S36">
        <v>1183</v>
      </c>
      <c r="T36">
        <v>1034</v>
      </c>
      <c r="U36">
        <v>880</v>
      </c>
      <c r="V36">
        <v>582</v>
      </c>
      <c r="W36" s="6" t="str">
        <f>VLOOKUP(E36,Segments!$B$1:$C$12,2,0)</f>
        <v>VHigh</v>
      </c>
      <c r="Z36" t="s">
        <v>2393</v>
      </c>
    </row>
    <row r="37" spans="1:26" x14ac:dyDescent="0.35">
      <c r="A37" s="1">
        <v>44228</v>
      </c>
      <c r="B37">
        <v>24998823</v>
      </c>
      <c r="C37">
        <v>27302</v>
      </c>
      <c r="D37" t="s">
        <v>45</v>
      </c>
      <c r="E37" t="s">
        <v>43</v>
      </c>
      <c r="F37">
        <v>-131604.82757620999</v>
      </c>
      <c r="G37">
        <v>-178179.904790014</v>
      </c>
      <c r="H37">
        <v>-110984.710937878</v>
      </c>
      <c r="I37">
        <v>-105649.867000741</v>
      </c>
      <c r="J37">
        <v>-6.5262583250316597</v>
      </c>
      <c r="K37">
        <v>-4.0650762192468699</v>
      </c>
      <c r="L37">
        <v>-3.8696750055212399</v>
      </c>
      <c r="M37">
        <v>17365.749999999902</v>
      </c>
      <c r="N37">
        <v>5246.08</v>
      </c>
      <c r="O37">
        <v>300279</v>
      </c>
      <c r="P37">
        <v>1129577</v>
      </c>
      <c r="Q37">
        <v>429677364.40892601</v>
      </c>
      <c r="R37">
        <v>13097</v>
      </c>
      <c r="S37">
        <v>11602</v>
      </c>
      <c r="T37">
        <v>9210</v>
      </c>
      <c r="U37">
        <v>4930</v>
      </c>
      <c r="V37">
        <v>3183</v>
      </c>
      <c r="W37" s="6" t="str">
        <f>VLOOKUP(E37,Segments!$B$1:$C$12,2,0)</f>
        <v>Low</v>
      </c>
      <c r="Z37" t="s">
        <v>2390</v>
      </c>
    </row>
    <row r="38" spans="1:26" x14ac:dyDescent="0.35">
      <c r="A38" s="1">
        <v>44228</v>
      </c>
      <c r="B38">
        <v>24998823</v>
      </c>
      <c r="C38">
        <v>895156</v>
      </c>
      <c r="D38" t="s">
        <v>46</v>
      </c>
      <c r="E38" t="s">
        <v>32</v>
      </c>
      <c r="F38">
        <v>2578779.3259579702</v>
      </c>
      <c r="G38">
        <v>1896116.6244079201</v>
      </c>
      <c r="H38">
        <v>2044776.80275592</v>
      </c>
      <c r="I38">
        <v>3795444.5507103801</v>
      </c>
      <c r="J38">
        <v>2.1181968555289998</v>
      </c>
      <c r="K38">
        <v>2.2842686668646799</v>
      </c>
      <c r="L38">
        <v>4.23998113257396</v>
      </c>
      <c r="M38">
        <v>699764.77000001702</v>
      </c>
      <c r="N38">
        <v>357046.46999999601</v>
      </c>
      <c r="O38">
        <v>1402224</v>
      </c>
      <c r="P38">
        <v>6630390</v>
      </c>
      <c r="Q38">
        <v>389945607.51912099</v>
      </c>
      <c r="R38">
        <v>667567</v>
      </c>
      <c r="S38">
        <v>581087</v>
      </c>
      <c r="T38">
        <v>495588</v>
      </c>
      <c r="U38">
        <v>266104</v>
      </c>
      <c r="V38">
        <v>135182</v>
      </c>
      <c r="W38" s="6" t="str">
        <f>VLOOKUP(E38,Segments!$B$1:$C$12,2,0)</f>
        <v>Low</v>
      </c>
      <c r="Z38" t="s">
        <v>2390</v>
      </c>
    </row>
    <row r="39" spans="1:26" x14ac:dyDescent="0.35">
      <c r="A39" s="1">
        <v>44228</v>
      </c>
      <c r="B39">
        <v>24998823</v>
      </c>
      <c r="C39">
        <v>396348</v>
      </c>
      <c r="D39" t="s">
        <v>46</v>
      </c>
      <c r="E39" t="s">
        <v>33</v>
      </c>
      <c r="F39">
        <v>6573902.27350464</v>
      </c>
      <c r="G39">
        <v>5358979.4463857897</v>
      </c>
      <c r="H39">
        <v>5680622.1652016304</v>
      </c>
      <c r="I39">
        <v>8682105.2089278102</v>
      </c>
      <c r="J39">
        <v>13.5208943816691</v>
      </c>
      <c r="K39">
        <v>14.3324103192185</v>
      </c>
      <c r="L39">
        <v>21.905258028116201</v>
      </c>
      <c r="M39">
        <v>1978834.3199998999</v>
      </c>
      <c r="N39">
        <v>1473521.5300000201</v>
      </c>
      <c r="O39">
        <v>4250888</v>
      </c>
      <c r="P39">
        <v>9346266</v>
      </c>
      <c r="Q39">
        <v>117201313.01606899</v>
      </c>
      <c r="R39">
        <v>199702</v>
      </c>
      <c r="S39">
        <v>163822</v>
      </c>
      <c r="T39">
        <v>140534</v>
      </c>
      <c r="U39">
        <v>91151</v>
      </c>
      <c r="V39">
        <v>44636</v>
      </c>
      <c r="W39" s="6" t="str">
        <f>VLOOKUP(E39,Segments!$B$1:$C$12,2,0)</f>
        <v>Low</v>
      </c>
      <c r="Z39" t="s">
        <v>2390</v>
      </c>
    </row>
    <row r="40" spans="1:26" x14ac:dyDescent="0.35">
      <c r="A40" s="1">
        <v>44228</v>
      </c>
      <c r="B40">
        <v>24998823</v>
      </c>
      <c r="C40">
        <v>71957</v>
      </c>
      <c r="D40" t="s">
        <v>46</v>
      </c>
      <c r="E40" t="s">
        <v>34</v>
      </c>
      <c r="F40">
        <v>8033837.0702037103</v>
      </c>
      <c r="G40">
        <v>7829619.2893656502</v>
      </c>
      <c r="H40">
        <v>7899819.7403109502</v>
      </c>
      <c r="I40">
        <v>8372072.1809346098</v>
      </c>
      <c r="J40">
        <v>108.809695920697</v>
      </c>
      <c r="K40">
        <v>109.785284827201</v>
      </c>
      <c r="L40">
        <v>116.348266060767</v>
      </c>
      <c r="M40">
        <v>2516221.2999999798</v>
      </c>
      <c r="N40">
        <v>2792847.5</v>
      </c>
      <c r="O40">
        <v>5503872</v>
      </c>
      <c r="P40">
        <v>7188781</v>
      </c>
      <c r="Q40">
        <v>130940058.887741</v>
      </c>
      <c r="R40">
        <v>9929</v>
      </c>
      <c r="S40">
        <v>7933</v>
      </c>
      <c r="T40">
        <v>6820</v>
      </c>
      <c r="U40">
        <v>5604</v>
      </c>
      <c r="V40">
        <v>3183</v>
      </c>
      <c r="W40" s="6" t="str">
        <f>VLOOKUP(E40,Segments!$B$1:$C$12,2,0)</f>
        <v>Medium</v>
      </c>
      <c r="Z40" t="s">
        <v>2391</v>
      </c>
    </row>
    <row r="41" spans="1:26" x14ac:dyDescent="0.35">
      <c r="A41" s="1">
        <v>44228</v>
      </c>
      <c r="B41">
        <v>24998823</v>
      </c>
      <c r="C41">
        <v>49187</v>
      </c>
      <c r="D41" t="s">
        <v>46</v>
      </c>
      <c r="E41" t="s">
        <v>35</v>
      </c>
      <c r="F41">
        <v>6723675.2037776299</v>
      </c>
      <c r="G41">
        <v>6628405.7708493201</v>
      </c>
      <c r="H41">
        <v>6630296.1374288201</v>
      </c>
      <c r="I41">
        <v>6912323.7030547401</v>
      </c>
      <c r="J41">
        <v>134.75930166200999</v>
      </c>
      <c r="K41">
        <v>134.79773390182001</v>
      </c>
      <c r="L41">
        <v>140.53151651970501</v>
      </c>
      <c r="M41">
        <v>2064426.56999998</v>
      </c>
      <c r="N41">
        <v>2411726.2718000002</v>
      </c>
      <c r="O41">
        <v>4727492</v>
      </c>
      <c r="P41">
        <v>5538124</v>
      </c>
      <c r="Q41">
        <v>109251558.274702</v>
      </c>
      <c r="R41">
        <v>5912</v>
      </c>
      <c r="S41">
        <v>4795</v>
      </c>
      <c r="T41">
        <v>4120</v>
      </c>
      <c r="U41">
        <v>3363</v>
      </c>
      <c r="V41">
        <v>1937</v>
      </c>
      <c r="W41" s="6" t="str">
        <f>VLOOKUP(E41,Segments!$B$1:$C$12,2,0)</f>
        <v>High</v>
      </c>
      <c r="Z41" t="s">
        <v>2392</v>
      </c>
    </row>
    <row r="42" spans="1:26" x14ac:dyDescent="0.35">
      <c r="A42" s="1">
        <v>44228</v>
      </c>
      <c r="B42">
        <v>24998823</v>
      </c>
      <c r="C42">
        <v>58628</v>
      </c>
      <c r="D42" t="s">
        <v>46</v>
      </c>
      <c r="E42" t="s">
        <v>36</v>
      </c>
      <c r="F42">
        <v>10102572.903965</v>
      </c>
      <c r="G42">
        <v>10051582.7143417</v>
      </c>
      <c r="H42">
        <v>9990284.0557850301</v>
      </c>
      <c r="I42">
        <v>10265851.9417683</v>
      </c>
      <c r="J42">
        <v>171.446795291358</v>
      </c>
      <c r="K42">
        <v>170.40124267901001</v>
      </c>
      <c r="L42">
        <v>175.10152046408399</v>
      </c>
      <c r="M42">
        <v>3058410.9499999802</v>
      </c>
      <c r="N42">
        <v>3738381.05</v>
      </c>
      <c r="O42">
        <v>7150543</v>
      </c>
      <c r="P42">
        <v>7565776</v>
      </c>
      <c r="Q42">
        <v>163091276.08888999</v>
      </c>
      <c r="R42">
        <v>6103</v>
      </c>
      <c r="S42">
        <v>4960</v>
      </c>
      <c r="T42">
        <v>4299</v>
      </c>
      <c r="U42">
        <v>3553</v>
      </c>
      <c r="V42">
        <v>2084</v>
      </c>
      <c r="W42" s="6" t="str">
        <f>VLOOKUP(E42,Segments!$B$1:$C$12,2,0)</f>
        <v>High</v>
      </c>
      <c r="Z42" t="s">
        <v>2392</v>
      </c>
    </row>
    <row r="43" spans="1:26" x14ac:dyDescent="0.35">
      <c r="A43" s="1">
        <v>44228</v>
      </c>
      <c r="B43">
        <v>24998823</v>
      </c>
      <c r="C43">
        <v>51995</v>
      </c>
      <c r="D43" t="s">
        <v>46</v>
      </c>
      <c r="E43" t="s">
        <v>37</v>
      </c>
      <c r="F43">
        <v>12565444.1557987</v>
      </c>
      <c r="G43">
        <v>12678634.553693701</v>
      </c>
      <c r="H43">
        <v>12484060.2686981</v>
      </c>
      <c r="I43">
        <v>12533637.6450042</v>
      </c>
      <c r="J43">
        <v>243.84334173850701</v>
      </c>
      <c r="K43">
        <v>240.10116874118901</v>
      </c>
      <c r="L43">
        <v>241.054671506956</v>
      </c>
      <c r="M43">
        <v>3792556.1699999799</v>
      </c>
      <c r="N43">
        <v>4804938.72</v>
      </c>
      <c r="O43">
        <v>8874160</v>
      </c>
      <c r="P43">
        <v>8212304</v>
      </c>
      <c r="Q43">
        <v>193654108.428556</v>
      </c>
      <c r="R43">
        <v>4144</v>
      </c>
      <c r="S43">
        <v>3403</v>
      </c>
      <c r="T43">
        <v>2950</v>
      </c>
      <c r="U43">
        <v>2475</v>
      </c>
      <c r="V43">
        <v>1495</v>
      </c>
      <c r="W43" s="6" t="str">
        <f>VLOOKUP(E43,Segments!$B$1:$C$12,2,0)</f>
        <v>High</v>
      </c>
      <c r="Z43" t="s">
        <v>2392</v>
      </c>
    </row>
    <row r="44" spans="1:26" x14ac:dyDescent="0.35">
      <c r="A44" s="1">
        <v>44228</v>
      </c>
      <c r="B44">
        <v>24998823</v>
      </c>
      <c r="C44">
        <v>347892</v>
      </c>
      <c r="D44" t="s">
        <v>46</v>
      </c>
      <c r="E44" t="s">
        <v>38</v>
      </c>
      <c r="F44">
        <v>12572949.352528</v>
      </c>
      <c r="G44">
        <v>11169623.8575445</v>
      </c>
      <c r="H44">
        <v>11711333.883874301</v>
      </c>
      <c r="I44">
        <v>14837890.316166</v>
      </c>
      <c r="J44">
        <v>32.106584392698302</v>
      </c>
      <c r="K44">
        <v>33.663705643919201</v>
      </c>
      <c r="L44">
        <v>42.650852322462299</v>
      </c>
      <c r="M44">
        <v>3986685.9799998002</v>
      </c>
      <c r="N44">
        <v>3534262.3500000699</v>
      </c>
      <c r="O44">
        <v>7903003</v>
      </c>
      <c r="P44">
        <v>14973254</v>
      </c>
      <c r="Q44">
        <v>209875058.05218899</v>
      </c>
      <c r="R44">
        <v>115172</v>
      </c>
      <c r="S44">
        <v>92346</v>
      </c>
      <c r="T44">
        <v>78898</v>
      </c>
      <c r="U44">
        <v>58131</v>
      </c>
      <c r="V44">
        <v>28987</v>
      </c>
      <c r="W44" s="6" t="str">
        <f>VLOOKUP(E44,Segments!$B$1:$C$12,2,0)</f>
        <v>Medium</v>
      </c>
      <c r="Z44" t="s">
        <v>2391</v>
      </c>
    </row>
    <row r="45" spans="1:26" x14ac:dyDescent="0.35">
      <c r="A45" s="1">
        <v>44228</v>
      </c>
      <c r="B45">
        <v>24998823</v>
      </c>
      <c r="C45">
        <v>32060</v>
      </c>
      <c r="D45" t="s">
        <v>46</v>
      </c>
      <c r="E45" t="s">
        <v>39</v>
      </c>
      <c r="F45">
        <v>12095769.256600499</v>
      </c>
      <c r="G45">
        <v>12302493.782208299</v>
      </c>
      <c r="H45">
        <v>12035479.7117665</v>
      </c>
      <c r="I45">
        <v>11949334.2758267</v>
      </c>
      <c r="J45">
        <v>383.733430511802</v>
      </c>
      <c r="K45">
        <v>375.40485688604298</v>
      </c>
      <c r="L45">
        <v>372.71785015055298</v>
      </c>
      <c r="M45">
        <v>3562089.8299999801</v>
      </c>
      <c r="N45">
        <v>5024957.0999999996</v>
      </c>
      <c r="O45">
        <v>7588177</v>
      </c>
      <c r="P45">
        <v>6279373</v>
      </c>
      <c r="Q45">
        <v>170954288.205286</v>
      </c>
      <c r="R45">
        <v>1908</v>
      </c>
      <c r="S45">
        <v>1594</v>
      </c>
      <c r="T45">
        <v>1389</v>
      </c>
      <c r="U45">
        <v>1163</v>
      </c>
      <c r="V45">
        <v>719</v>
      </c>
      <c r="W45" s="6" t="str">
        <f>VLOOKUP(E45,Segments!$B$1:$C$12,2,0)</f>
        <v>VHigh</v>
      </c>
      <c r="Z45" t="s">
        <v>2393</v>
      </c>
    </row>
    <row r="46" spans="1:26" x14ac:dyDescent="0.35">
      <c r="A46" s="1">
        <v>44228</v>
      </c>
      <c r="B46">
        <v>24998823</v>
      </c>
      <c r="C46">
        <v>191649</v>
      </c>
      <c r="D46" t="s">
        <v>46</v>
      </c>
      <c r="E46" t="s">
        <v>40</v>
      </c>
      <c r="F46">
        <v>11759224.4316718</v>
      </c>
      <c r="G46">
        <v>11005604.024626199</v>
      </c>
      <c r="H46">
        <v>11338023.369621299</v>
      </c>
      <c r="I46">
        <v>12934045.900768001</v>
      </c>
      <c r="J46">
        <v>57.425835901185401</v>
      </c>
      <c r="K46">
        <v>59.1603575788101</v>
      </c>
      <c r="L46">
        <v>67.488199264113405</v>
      </c>
      <c r="M46">
        <v>3756752.35999991</v>
      </c>
      <c r="N46">
        <v>3729112.66000003</v>
      </c>
      <c r="O46">
        <v>7440769</v>
      </c>
      <c r="P46">
        <v>12440023</v>
      </c>
      <c r="Q46">
        <v>193234497.79316601</v>
      </c>
      <c r="R46">
        <v>42908</v>
      </c>
      <c r="S46">
        <v>34187</v>
      </c>
      <c r="T46">
        <v>29381</v>
      </c>
      <c r="U46">
        <v>23052</v>
      </c>
      <c r="V46">
        <v>12117</v>
      </c>
      <c r="W46" s="6" t="str">
        <f>VLOOKUP(E46,Segments!$B$1:$C$12,2,0)</f>
        <v>Medium</v>
      </c>
      <c r="Z46" t="s">
        <v>2391</v>
      </c>
    </row>
    <row r="47" spans="1:26" x14ac:dyDescent="0.35">
      <c r="A47" s="1">
        <v>44228</v>
      </c>
      <c r="B47">
        <v>24998823</v>
      </c>
      <c r="C47">
        <v>114292</v>
      </c>
      <c r="D47" t="s">
        <v>46</v>
      </c>
      <c r="E47" t="s">
        <v>41</v>
      </c>
      <c r="F47">
        <v>9887857.7273408193</v>
      </c>
      <c r="G47">
        <v>9488307.2372086495</v>
      </c>
      <c r="H47">
        <v>9647973.9145264793</v>
      </c>
      <c r="I47">
        <v>10527292.030287299</v>
      </c>
      <c r="J47">
        <v>83.018122328847596</v>
      </c>
      <c r="K47">
        <v>84.415128920016102</v>
      </c>
      <c r="L47">
        <v>92.108739284353703</v>
      </c>
      <c r="M47">
        <v>3128013.8699999601</v>
      </c>
      <c r="N47">
        <v>3330227.3709000102</v>
      </c>
      <c r="O47">
        <v>6539339</v>
      </c>
      <c r="P47">
        <v>9474097</v>
      </c>
      <c r="Q47">
        <v>160850089.56837901</v>
      </c>
      <c r="R47">
        <v>19651</v>
      </c>
      <c r="S47">
        <v>15764</v>
      </c>
      <c r="T47">
        <v>13535</v>
      </c>
      <c r="U47">
        <v>10897</v>
      </c>
      <c r="V47">
        <v>6008</v>
      </c>
      <c r="W47" s="6" t="str">
        <f>VLOOKUP(E47,Segments!$B$1:$C$12,2,0)</f>
        <v>Medium</v>
      </c>
      <c r="Z47" t="s">
        <v>2391</v>
      </c>
    </row>
    <row r="48" spans="1:26" x14ac:dyDescent="0.35">
      <c r="A48" s="1">
        <v>44228</v>
      </c>
      <c r="B48">
        <v>24998823</v>
      </c>
      <c r="C48">
        <v>17125</v>
      </c>
      <c r="D48" t="s">
        <v>46</v>
      </c>
      <c r="E48" t="s">
        <v>42</v>
      </c>
      <c r="F48">
        <v>13471408.7638359</v>
      </c>
      <c r="G48">
        <v>14009632.8476013</v>
      </c>
      <c r="H48">
        <v>13231252.160805801</v>
      </c>
      <c r="I48">
        <v>13173341.283100599</v>
      </c>
      <c r="J48">
        <v>818.08075022489299</v>
      </c>
      <c r="K48">
        <v>772.62786340472303</v>
      </c>
      <c r="L48">
        <v>769.24620631244602</v>
      </c>
      <c r="M48">
        <v>4079285.46999999</v>
      </c>
      <c r="N48">
        <v>6985242.1699999999</v>
      </c>
      <c r="O48">
        <v>6496902</v>
      </c>
      <c r="P48">
        <v>4824117</v>
      </c>
      <c r="Q48">
        <v>183977478.10178599</v>
      </c>
      <c r="R48">
        <v>668</v>
      </c>
      <c r="S48">
        <v>544</v>
      </c>
      <c r="T48">
        <v>453</v>
      </c>
      <c r="U48">
        <v>391</v>
      </c>
      <c r="V48">
        <v>267</v>
      </c>
      <c r="W48" s="6" t="str">
        <f>VLOOKUP(E48,Segments!$B$1:$C$12,2,0)</f>
        <v>VHigh</v>
      </c>
      <c r="Z48" t="s">
        <v>2393</v>
      </c>
    </row>
    <row r="49" spans="1:26" x14ac:dyDescent="0.35">
      <c r="A49" s="1">
        <v>44228</v>
      </c>
      <c r="B49">
        <v>24998823</v>
      </c>
      <c r="C49">
        <v>21592</v>
      </c>
      <c r="D49" t="s">
        <v>46</v>
      </c>
      <c r="E49" t="s">
        <v>43</v>
      </c>
      <c r="F49">
        <v>-197401.82548454899</v>
      </c>
      <c r="G49">
        <v>-206517.95860099001</v>
      </c>
      <c r="H49">
        <v>-167400.162678872</v>
      </c>
      <c r="I49">
        <v>-218287.35517378699</v>
      </c>
      <c r="J49">
        <v>-9.5645590311685194</v>
      </c>
      <c r="K49">
        <v>-7.7528789680841097</v>
      </c>
      <c r="L49">
        <v>-10.1096403841139</v>
      </c>
      <c r="M49">
        <v>9555.23</v>
      </c>
      <c r="N49">
        <v>6483.66</v>
      </c>
      <c r="O49">
        <v>1111825</v>
      </c>
      <c r="P49">
        <v>180195</v>
      </c>
      <c r="Q49">
        <v>414499402.66821498</v>
      </c>
      <c r="R49">
        <v>7393</v>
      </c>
      <c r="S49">
        <v>6484</v>
      </c>
      <c r="T49">
        <v>5594</v>
      </c>
      <c r="U49">
        <v>3626</v>
      </c>
      <c r="V49">
        <v>2632</v>
      </c>
      <c r="W49" s="6" t="str">
        <f>VLOOKUP(E49,Segments!$B$1:$C$12,2,0)</f>
        <v>Low</v>
      </c>
      <c r="Z49" t="s">
        <v>2390</v>
      </c>
    </row>
    <row r="50" spans="1:26" x14ac:dyDescent="0.35">
      <c r="A50" s="1">
        <v>44228</v>
      </c>
      <c r="B50">
        <v>24998823</v>
      </c>
      <c r="C50">
        <v>436474</v>
      </c>
      <c r="D50" t="s">
        <v>47</v>
      </c>
      <c r="E50" t="s">
        <v>32</v>
      </c>
      <c r="F50">
        <v>1254378.5099794201</v>
      </c>
      <c r="G50">
        <v>912634.63493804296</v>
      </c>
      <c r="H50">
        <v>1016574.12866127</v>
      </c>
      <c r="I50">
        <v>1833926.76633876</v>
      </c>
      <c r="J50">
        <v>2.0909255418147299</v>
      </c>
      <c r="K50">
        <v>2.32905998676042</v>
      </c>
      <c r="L50">
        <v>4.2016861630675999</v>
      </c>
      <c r="M50">
        <v>354245.66000000498</v>
      </c>
      <c r="N50">
        <v>175811.83999999901</v>
      </c>
      <c r="O50">
        <v>780266</v>
      </c>
      <c r="P50">
        <v>4094980</v>
      </c>
      <c r="Q50">
        <v>507815509.60150898</v>
      </c>
      <c r="R50">
        <v>317951</v>
      </c>
      <c r="S50">
        <v>275450</v>
      </c>
      <c r="T50">
        <v>234203</v>
      </c>
      <c r="U50">
        <v>126763</v>
      </c>
      <c r="V50">
        <v>65238</v>
      </c>
      <c r="W50" s="6" t="str">
        <f>VLOOKUP(E50,Segments!$B$1:$C$12,2,0)</f>
        <v>Low</v>
      </c>
      <c r="Z50" t="s">
        <v>2390</v>
      </c>
    </row>
    <row r="51" spans="1:26" x14ac:dyDescent="0.35">
      <c r="A51" s="1">
        <v>44228</v>
      </c>
      <c r="B51">
        <v>24998823</v>
      </c>
      <c r="C51">
        <v>211440</v>
      </c>
      <c r="D51" t="s">
        <v>47</v>
      </c>
      <c r="E51" t="s">
        <v>33</v>
      </c>
      <c r="F51">
        <v>3545335.3718831502</v>
      </c>
      <c r="G51">
        <v>2933979.6944868499</v>
      </c>
      <c r="H51">
        <v>3089828.3844179502</v>
      </c>
      <c r="I51">
        <v>4612198.0367448898</v>
      </c>
      <c r="J51">
        <v>13.8761809236041</v>
      </c>
      <c r="K51">
        <v>14.613263263422001</v>
      </c>
      <c r="L51">
        <v>21.813271078059401</v>
      </c>
      <c r="M51">
        <v>1135427.3899999899</v>
      </c>
      <c r="N51">
        <v>778900.76999999594</v>
      </c>
      <c r="O51">
        <v>2422867</v>
      </c>
      <c r="P51">
        <v>5768308</v>
      </c>
      <c r="Q51">
        <v>66216781.854934603</v>
      </c>
      <c r="R51">
        <v>99263</v>
      </c>
      <c r="S51">
        <v>80644</v>
      </c>
      <c r="T51">
        <v>68496</v>
      </c>
      <c r="U51">
        <v>44328</v>
      </c>
      <c r="V51">
        <v>21114</v>
      </c>
      <c r="W51" s="6" t="str">
        <f>VLOOKUP(E51,Segments!$B$1:$C$12,2,0)</f>
        <v>Low</v>
      </c>
      <c r="Z51" t="s">
        <v>2390</v>
      </c>
    </row>
    <row r="52" spans="1:26" x14ac:dyDescent="0.35">
      <c r="A52" s="1">
        <v>44228</v>
      </c>
      <c r="B52">
        <v>24998823</v>
      </c>
      <c r="C52">
        <v>48523</v>
      </c>
      <c r="D52" t="s">
        <v>47</v>
      </c>
      <c r="E52" t="s">
        <v>34</v>
      </c>
      <c r="F52">
        <v>5415811.7469564397</v>
      </c>
      <c r="G52">
        <v>5314739.5007995795</v>
      </c>
      <c r="H52">
        <v>5326325.8293324504</v>
      </c>
      <c r="I52">
        <v>5606369.9107372696</v>
      </c>
      <c r="J52">
        <v>109.530315536953</v>
      </c>
      <c r="K52">
        <v>109.76909567282399</v>
      </c>
      <c r="L52">
        <v>115.540463506734</v>
      </c>
      <c r="M52">
        <v>1748505.6499999899</v>
      </c>
      <c r="N52">
        <v>1814913</v>
      </c>
      <c r="O52">
        <v>3503831</v>
      </c>
      <c r="P52">
        <v>5292035</v>
      </c>
      <c r="Q52">
        <v>88827822.261015803</v>
      </c>
      <c r="R52">
        <v>5614</v>
      </c>
      <c r="S52">
        <v>4497</v>
      </c>
      <c r="T52">
        <v>3797</v>
      </c>
      <c r="U52">
        <v>3052</v>
      </c>
      <c r="V52">
        <v>1631</v>
      </c>
      <c r="W52" s="6" t="str">
        <f>VLOOKUP(E52,Segments!$B$1:$C$12,2,0)</f>
        <v>Medium</v>
      </c>
      <c r="Z52" t="s">
        <v>2391</v>
      </c>
    </row>
    <row r="53" spans="1:26" x14ac:dyDescent="0.35">
      <c r="A53" s="1">
        <v>44228</v>
      </c>
      <c r="B53">
        <v>24998823</v>
      </c>
      <c r="C53">
        <v>33061</v>
      </c>
      <c r="D53" t="s">
        <v>47</v>
      </c>
      <c r="E53" t="s">
        <v>35</v>
      </c>
      <c r="F53">
        <v>4523436.2369905598</v>
      </c>
      <c r="G53">
        <v>4502935.0494659897</v>
      </c>
      <c r="H53">
        <v>4451707.0757641802</v>
      </c>
      <c r="I53">
        <v>4615666.5857415302</v>
      </c>
      <c r="J53">
        <v>136.200812118991</v>
      </c>
      <c r="K53">
        <v>134.651313504255</v>
      </c>
      <c r="L53">
        <v>139.61061630747801</v>
      </c>
      <c r="M53">
        <v>1430331.5999999901</v>
      </c>
      <c r="N53">
        <v>1580375.51</v>
      </c>
      <c r="O53">
        <v>2937082</v>
      </c>
      <c r="P53">
        <v>4042817</v>
      </c>
      <c r="Q53">
        <v>74554873.088305399</v>
      </c>
      <c r="R53">
        <v>3297</v>
      </c>
      <c r="S53">
        <v>2615</v>
      </c>
      <c r="T53">
        <v>2250</v>
      </c>
      <c r="U53">
        <v>1839</v>
      </c>
      <c r="V53">
        <v>1042</v>
      </c>
      <c r="W53" s="6" t="str">
        <f>VLOOKUP(E53,Segments!$B$1:$C$12,2,0)</f>
        <v>High</v>
      </c>
      <c r="Z53" t="s">
        <v>2392</v>
      </c>
    </row>
    <row r="54" spans="1:26" x14ac:dyDescent="0.35">
      <c r="A54" s="1">
        <v>44228</v>
      </c>
      <c r="B54">
        <v>24998823</v>
      </c>
      <c r="C54">
        <v>40414</v>
      </c>
      <c r="D54" t="s">
        <v>47</v>
      </c>
      <c r="E54" t="s">
        <v>36</v>
      </c>
      <c r="F54">
        <v>6968982.7234051097</v>
      </c>
      <c r="G54">
        <v>6958984.76279015</v>
      </c>
      <c r="H54">
        <v>6888652.56894767</v>
      </c>
      <c r="I54">
        <v>7059310.8384775398</v>
      </c>
      <c r="J54">
        <v>172.19242744568999</v>
      </c>
      <c r="K54">
        <v>170.45213463026801</v>
      </c>
      <c r="L54">
        <v>174.67488589294601</v>
      </c>
      <c r="M54">
        <v>2161941.1299999901</v>
      </c>
      <c r="N54">
        <v>2514203.6899999902</v>
      </c>
      <c r="O54">
        <v>4618406</v>
      </c>
      <c r="P54">
        <v>5619055</v>
      </c>
      <c r="Q54">
        <v>109509393.535965</v>
      </c>
      <c r="R54">
        <v>3415</v>
      </c>
      <c r="S54">
        <v>2756</v>
      </c>
      <c r="T54">
        <v>2339</v>
      </c>
      <c r="U54">
        <v>1893</v>
      </c>
      <c r="V54">
        <v>1061</v>
      </c>
      <c r="W54" s="6" t="str">
        <f>VLOOKUP(E54,Segments!$B$1:$C$12,2,0)</f>
        <v>High</v>
      </c>
      <c r="Z54" t="s">
        <v>2392</v>
      </c>
    </row>
    <row r="55" spans="1:26" x14ac:dyDescent="0.35">
      <c r="A55" s="1">
        <v>44228</v>
      </c>
      <c r="B55">
        <v>24998823</v>
      </c>
      <c r="C55">
        <v>36788</v>
      </c>
      <c r="D55" t="s">
        <v>47</v>
      </c>
      <c r="E55" t="s">
        <v>37</v>
      </c>
      <c r="F55">
        <v>8899903.6398864295</v>
      </c>
      <c r="G55">
        <v>8991104.1385299005</v>
      </c>
      <c r="H55">
        <v>8819763.0808237791</v>
      </c>
      <c r="I55">
        <v>8888843.7003056109</v>
      </c>
      <c r="J55">
        <v>244.40317871398</v>
      </c>
      <c r="K55">
        <v>239.745652952695</v>
      </c>
      <c r="L55">
        <v>241.62345602657399</v>
      </c>
      <c r="M55">
        <v>2685123.8699999899</v>
      </c>
      <c r="N55">
        <v>3376859.9909000001</v>
      </c>
      <c r="O55">
        <v>5826121</v>
      </c>
      <c r="P55">
        <v>6172184</v>
      </c>
      <c r="Q55">
        <v>133052293.759211</v>
      </c>
      <c r="R55">
        <v>2481</v>
      </c>
      <c r="S55">
        <v>2047</v>
      </c>
      <c r="T55">
        <v>1757</v>
      </c>
      <c r="U55">
        <v>1476</v>
      </c>
      <c r="V55">
        <v>864</v>
      </c>
      <c r="W55" s="6" t="str">
        <f>VLOOKUP(E55,Segments!$B$1:$C$12,2,0)</f>
        <v>High</v>
      </c>
      <c r="Z55" t="s">
        <v>2392</v>
      </c>
    </row>
    <row r="56" spans="1:26" x14ac:dyDescent="0.35">
      <c r="A56" s="1">
        <v>44228</v>
      </c>
      <c r="B56">
        <v>24998823</v>
      </c>
      <c r="C56">
        <v>207440</v>
      </c>
      <c r="D56" t="s">
        <v>47</v>
      </c>
      <c r="E56" t="s">
        <v>38</v>
      </c>
      <c r="F56">
        <v>7543066.2899494804</v>
      </c>
      <c r="G56">
        <v>6796177.9422351997</v>
      </c>
      <c r="H56">
        <v>7081678.1787632396</v>
      </c>
      <c r="I56">
        <v>8751342.7488502692</v>
      </c>
      <c r="J56">
        <v>32.762138171207098</v>
      </c>
      <c r="K56">
        <v>34.138440892611101</v>
      </c>
      <c r="L56">
        <v>42.187344527816599</v>
      </c>
      <c r="M56">
        <v>2529597.9699999299</v>
      </c>
      <c r="N56">
        <v>2068979.95000002</v>
      </c>
      <c r="O56">
        <v>4809053</v>
      </c>
      <c r="P56">
        <v>9948342</v>
      </c>
      <c r="Q56">
        <v>130572495.081402</v>
      </c>
      <c r="R56">
        <v>61270</v>
      </c>
      <c r="S56">
        <v>48405</v>
      </c>
      <c r="T56">
        <v>41040</v>
      </c>
      <c r="U56">
        <v>30065</v>
      </c>
      <c r="V56">
        <v>14377</v>
      </c>
      <c r="W56" s="6" t="str">
        <f>VLOOKUP(E56,Segments!$B$1:$C$12,2,0)</f>
        <v>Medium</v>
      </c>
      <c r="Z56" t="s">
        <v>2391</v>
      </c>
    </row>
    <row r="57" spans="1:26" x14ac:dyDescent="0.35">
      <c r="A57" s="1">
        <v>44228</v>
      </c>
      <c r="B57">
        <v>24998823</v>
      </c>
      <c r="C57">
        <v>23808</v>
      </c>
      <c r="D57" t="s">
        <v>47</v>
      </c>
      <c r="E57" t="s">
        <v>39</v>
      </c>
      <c r="F57">
        <v>8999644.5899559092</v>
      </c>
      <c r="G57">
        <v>9168856.0084229298</v>
      </c>
      <c r="H57">
        <v>8891752.9675399903</v>
      </c>
      <c r="I57">
        <v>8938324.7939048205</v>
      </c>
      <c r="J57">
        <v>385.11659981615099</v>
      </c>
      <c r="K57">
        <v>373.47752719841998</v>
      </c>
      <c r="L57">
        <v>375.433669098824</v>
      </c>
      <c r="M57">
        <v>2625196.6599999899</v>
      </c>
      <c r="N57">
        <v>3767850.09</v>
      </c>
      <c r="O57">
        <v>5459045</v>
      </c>
      <c r="P57">
        <v>4919551</v>
      </c>
      <c r="Q57">
        <v>122959128.748417</v>
      </c>
      <c r="R57">
        <v>1178</v>
      </c>
      <c r="S57">
        <v>990</v>
      </c>
      <c r="T57">
        <v>835</v>
      </c>
      <c r="U57">
        <v>703</v>
      </c>
      <c r="V57">
        <v>436</v>
      </c>
      <c r="W57" s="6" t="str">
        <f>VLOOKUP(E57,Segments!$B$1:$C$12,2,0)</f>
        <v>VHigh</v>
      </c>
      <c r="Z57" t="s">
        <v>2393</v>
      </c>
    </row>
    <row r="58" spans="1:26" x14ac:dyDescent="0.35">
      <c r="A58" s="1">
        <v>44228</v>
      </c>
      <c r="B58">
        <v>24998823</v>
      </c>
      <c r="C58">
        <v>122561</v>
      </c>
      <c r="D58" t="s">
        <v>47</v>
      </c>
      <c r="E58" t="s">
        <v>40</v>
      </c>
      <c r="F58">
        <v>7528169.5921541397</v>
      </c>
      <c r="G58">
        <v>7095625.1930673998</v>
      </c>
      <c r="H58">
        <v>7283117.5624236101</v>
      </c>
      <c r="I58">
        <v>8205766.0209715702</v>
      </c>
      <c r="J58">
        <v>57.894641795247999</v>
      </c>
      <c r="K58">
        <v>59.424429977102101</v>
      </c>
      <c r="L58">
        <v>66.952505454194807</v>
      </c>
      <c r="M58">
        <v>2491169.3599999598</v>
      </c>
      <c r="N58">
        <v>2322960.17090001</v>
      </c>
      <c r="O58">
        <v>4611607</v>
      </c>
      <c r="P58">
        <v>8637487</v>
      </c>
      <c r="Q58">
        <v>129888303.433788</v>
      </c>
      <c r="R58">
        <v>23665</v>
      </c>
      <c r="S58">
        <v>18633</v>
      </c>
      <c r="T58">
        <v>15827</v>
      </c>
      <c r="U58">
        <v>12382</v>
      </c>
      <c r="V58">
        <v>6267</v>
      </c>
      <c r="W58" s="6" t="str">
        <f>VLOOKUP(E58,Segments!$B$1:$C$12,2,0)</f>
        <v>Medium</v>
      </c>
      <c r="Z58" t="s">
        <v>2391</v>
      </c>
    </row>
    <row r="59" spans="1:26" x14ac:dyDescent="0.35">
      <c r="A59" s="1">
        <v>44228</v>
      </c>
      <c r="B59">
        <v>24998823</v>
      </c>
      <c r="C59">
        <v>74552</v>
      </c>
      <c r="D59" t="s">
        <v>47</v>
      </c>
      <c r="E59" t="s">
        <v>41</v>
      </c>
      <c r="F59">
        <v>6453314.7149642399</v>
      </c>
      <c r="G59">
        <v>6219382.7710168799</v>
      </c>
      <c r="H59">
        <v>6307819.0061852001</v>
      </c>
      <c r="I59">
        <v>6832742.3676905902</v>
      </c>
      <c r="J59">
        <v>83.423419506074694</v>
      </c>
      <c r="K59">
        <v>84.609655088866802</v>
      </c>
      <c r="L59">
        <v>91.650691700968295</v>
      </c>
      <c r="M59">
        <v>2112382.8799999799</v>
      </c>
      <c r="N59">
        <v>2100603.34</v>
      </c>
      <c r="O59">
        <v>4021884</v>
      </c>
      <c r="P59">
        <v>6701696</v>
      </c>
      <c r="Q59">
        <v>107245542.482677</v>
      </c>
      <c r="R59">
        <v>10901</v>
      </c>
      <c r="S59">
        <v>8604</v>
      </c>
      <c r="T59">
        <v>7315</v>
      </c>
      <c r="U59">
        <v>5850</v>
      </c>
      <c r="V59">
        <v>3078</v>
      </c>
      <c r="W59" s="6" t="str">
        <f>VLOOKUP(E59,Segments!$B$1:$C$12,2,0)</f>
        <v>Medium</v>
      </c>
      <c r="Z59" t="s">
        <v>2391</v>
      </c>
    </row>
    <row r="60" spans="1:26" x14ac:dyDescent="0.35">
      <c r="A60" s="1">
        <v>44228</v>
      </c>
      <c r="B60">
        <v>24998823</v>
      </c>
      <c r="C60">
        <v>13774</v>
      </c>
      <c r="D60" t="s">
        <v>47</v>
      </c>
      <c r="E60" t="s">
        <v>42</v>
      </c>
      <c r="F60">
        <v>10850849.344937</v>
      </c>
      <c r="G60">
        <v>11245401.5824589</v>
      </c>
      <c r="H60">
        <v>10551340.294952299</v>
      </c>
      <c r="I60">
        <v>10755806.1573999</v>
      </c>
      <c r="J60">
        <v>816.42235969645606</v>
      </c>
      <c r="K60">
        <v>766.03312726530498</v>
      </c>
      <c r="L60">
        <v>780.87746169594504</v>
      </c>
      <c r="M60">
        <v>3179749.6299999901</v>
      </c>
      <c r="N60">
        <v>5553752.1100000003</v>
      </c>
      <c r="O60">
        <v>5069324</v>
      </c>
      <c r="P60">
        <v>3953184</v>
      </c>
      <c r="Q60">
        <v>142353689.16563499</v>
      </c>
      <c r="R60">
        <v>437</v>
      </c>
      <c r="S60">
        <v>360</v>
      </c>
      <c r="T60">
        <v>303</v>
      </c>
      <c r="U60">
        <v>255</v>
      </c>
      <c r="V60">
        <v>173</v>
      </c>
      <c r="W60" s="6" t="str">
        <f>VLOOKUP(E60,Segments!$B$1:$C$12,2,0)</f>
        <v>VHigh</v>
      </c>
      <c r="Z60" t="s">
        <v>2393</v>
      </c>
    </row>
    <row r="61" spans="1:26" x14ac:dyDescent="0.35">
      <c r="A61" s="1">
        <v>44228</v>
      </c>
      <c r="B61">
        <v>24998823</v>
      </c>
      <c r="C61">
        <v>13757</v>
      </c>
      <c r="D61" t="s">
        <v>47</v>
      </c>
      <c r="E61" t="s">
        <v>43</v>
      </c>
      <c r="F61">
        <v>-41696.416001071797</v>
      </c>
      <c r="G61">
        <v>-44883.644370714901</v>
      </c>
      <c r="H61">
        <v>-38850.957283213502</v>
      </c>
      <c r="I61">
        <v>-41354.646349286901</v>
      </c>
      <c r="J61">
        <v>-3.2626040830642502</v>
      </c>
      <c r="K61">
        <v>-2.8240864493140601</v>
      </c>
      <c r="L61">
        <v>-3.0060802754442699</v>
      </c>
      <c r="M61">
        <v>6133.98</v>
      </c>
      <c r="N61">
        <v>3290.34</v>
      </c>
      <c r="O61">
        <v>31812</v>
      </c>
      <c r="P61">
        <v>35341</v>
      </c>
      <c r="Q61">
        <v>734239075.35833502</v>
      </c>
      <c r="R61">
        <v>4302</v>
      </c>
      <c r="S61">
        <v>3889</v>
      </c>
      <c r="T61">
        <v>3367</v>
      </c>
      <c r="U61">
        <v>2389</v>
      </c>
      <c r="V61">
        <v>1870</v>
      </c>
      <c r="W61" s="6" t="str">
        <f>VLOOKUP(E61,Segments!$B$1:$C$12,2,0)</f>
        <v>Low</v>
      </c>
      <c r="Z61" t="s">
        <v>2390</v>
      </c>
    </row>
    <row r="62" spans="1:26" x14ac:dyDescent="0.35">
      <c r="A62" s="1">
        <v>44228</v>
      </c>
      <c r="B62">
        <v>24998823</v>
      </c>
      <c r="C62">
        <v>1530784</v>
      </c>
      <c r="D62" t="s">
        <v>48</v>
      </c>
      <c r="E62" t="s">
        <v>32</v>
      </c>
      <c r="F62">
        <v>5154272.7650727304</v>
      </c>
      <c r="G62">
        <v>4716806.8565625502</v>
      </c>
      <c r="H62">
        <v>4671250.2620720901</v>
      </c>
      <c r="I62">
        <v>6074761.1765863895</v>
      </c>
      <c r="J62">
        <v>3.08130138318832</v>
      </c>
      <c r="K62">
        <v>3.0515410809572701</v>
      </c>
      <c r="L62">
        <v>3.9683986614613098</v>
      </c>
      <c r="M62">
        <v>1964087.1759999499</v>
      </c>
      <c r="N62">
        <v>456578.18099999201</v>
      </c>
      <c r="O62">
        <v>3107215</v>
      </c>
      <c r="P62">
        <v>40093700</v>
      </c>
      <c r="Q62">
        <v>147841950.97424001</v>
      </c>
      <c r="R62">
        <v>739565</v>
      </c>
      <c r="S62">
        <v>559890</v>
      </c>
      <c r="T62">
        <v>427409</v>
      </c>
      <c r="U62">
        <v>236505</v>
      </c>
      <c r="V62">
        <v>126139</v>
      </c>
      <c r="W62" s="6" t="str">
        <f>VLOOKUP(E62,Segments!$B$1:$C$12,2,0)</f>
        <v>Low</v>
      </c>
      <c r="Z62" t="s">
        <v>2390</v>
      </c>
    </row>
    <row r="63" spans="1:26" x14ac:dyDescent="0.35">
      <c r="A63" s="1">
        <v>44228</v>
      </c>
      <c r="B63">
        <v>24998823</v>
      </c>
      <c r="C63">
        <v>1049441</v>
      </c>
      <c r="D63" t="s">
        <v>48</v>
      </c>
      <c r="E63" t="s">
        <v>33</v>
      </c>
      <c r="F63">
        <v>17959240.5955818</v>
      </c>
      <c r="G63">
        <v>17349412.5154735</v>
      </c>
      <c r="H63">
        <v>17186999.3208686</v>
      </c>
      <c r="I63">
        <v>19341309.9504048</v>
      </c>
      <c r="J63">
        <v>16.5320513639866</v>
      </c>
      <c r="K63">
        <v>16.377289738888201</v>
      </c>
      <c r="L63">
        <v>18.4301070287942</v>
      </c>
      <c r="M63">
        <v>8963199.5729995202</v>
      </c>
      <c r="N63">
        <v>2569155.3044000999</v>
      </c>
      <c r="O63">
        <v>14677396</v>
      </c>
      <c r="P63">
        <v>62099861</v>
      </c>
      <c r="Q63">
        <v>213206125.01315901</v>
      </c>
      <c r="R63">
        <v>216820</v>
      </c>
      <c r="S63">
        <v>142887</v>
      </c>
      <c r="T63">
        <v>104444</v>
      </c>
      <c r="U63">
        <v>62575</v>
      </c>
      <c r="V63">
        <v>30502</v>
      </c>
      <c r="W63" s="6" t="str">
        <f>VLOOKUP(E63,Segments!$B$1:$C$12,2,0)</f>
        <v>Low</v>
      </c>
      <c r="Z63" t="s">
        <v>2390</v>
      </c>
    </row>
    <row r="64" spans="1:26" x14ac:dyDescent="0.35">
      <c r="A64" s="1">
        <v>44228</v>
      </c>
      <c r="B64">
        <v>24998823</v>
      </c>
      <c r="C64">
        <v>563896</v>
      </c>
      <c r="D64" t="s">
        <v>48</v>
      </c>
      <c r="E64" t="s">
        <v>34</v>
      </c>
      <c r="F64">
        <v>63139516.802517101</v>
      </c>
      <c r="G64">
        <v>63396755.179092802</v>
      </c>
      <c r="H64">
        <v>63979277.101551101</v>
      </c>
      <c r="I64">
        <v>62042518.126907103</v>
      </c>
      <c r="J64">
        <v>112.42632538463199</v>
      </c>
      <c r="K64">
        <v>113.459356160623</v>
      </c>
      <c r="L64">
        <v>110.024753016349</v>
      </c>
      <c r="M64">
        <v>28202126.462300099</v>
      </c>
      <c r="N64">
        <v>17270168.576899499</v>
      </c>
      <c r="O64">
        <v>47837832</v>
      </c>
      <c r="P64">
        <v>92076373</v>
      </c>
      <c r="Q64">
        <v>536802556.33929002</v>
      </c>
      <c r="R64">
        <v>18729</v>
      </c>
      <c r="S64">
        <v>12967</v>
      </c>
      <c r="T64">
        <v>9752</v>
      </c>
      <c r="U64">
        <v>6845</v>
      </c>
      <c r="V64">
        <v>3703</v>
      </c>
      <c r="W64" s="6" t="str">
        <f>VLOOKUP(E64,Segments!$B$1:$C$12,2,0)</f>
        <v>Medium</v>
      </c>
      <c r="Z64" t="s">
        <v>2391</v>
      </c>
    </row>
    <row r="65" spans="1:26" x14ac:dyDescent="0.35">
      <c r="A65" s="1">
        <v>44228</v>
      </c>
      <c r="B65">
        <v>24998823</v>
      </c>
      <c r="C65">
        <v>444096</v>
      </c>
      <c r="D65" t="s">
        <v>48</v>
      </c>
      <c r="E65" t="s">
        <v>35</v>
      </c>
      <c r="F65">
        <v>60838820.019113198</v>
      </c>
      <c r="G65">
        <v>61226696.462684304</v>
      </c>
      <c r="H65">
        <v>61611748.612681597</v>
      </c>
      <c r="I65">
        <v>59678014.9819737</v>
      </c>
      <c r="J65">
        <v>137.86815567508901</v>
      </c>
      <c r="K65">
        <v>138.73520277751101</v>
      </c>
      <c r="L65">
        <v>134.38088832588801</v>
      </c>
      <c r="M65">
        <v>26257189.519499999</v>
      </c>
      <c r="N65">
        <v>17616555.875199702</v>
      </c>
      <c r="O65">
        <v>46674469</v>
      </c>
      <c r="P65">
        <v>80676905</v>
      </c>
      <c r="Q65">
        <v>523712450.748209</v>
      </c>
      <c r="R65">
        <v>11857</v>
      </c>
      <c r="S65">
        <v>8257</v>
      </c>
      <c r="T65">
        <v>6225</v>
      </c>
      <c r="U65">
        <v>4449</v>
      </c>
      <c r="V65">
        <v>2427</v>
      </c>
      <c r="W65" s="6" t="str">
        <f>VLOOKUP(E65,Segments!$B$1:$C$12,2,0)</f>
        <v>High</v>
      </c>
      <c r="Z65" t="s">
        <v>2392</v>
      </c>
    </row>
    <row r="66" spans="1:26" x14ac:dyDescent="0.35">
      <c r="A66" s="1">
        <v>44228</v>
      </c>
      <c r="B66">
        <v>24998823</v>
      </c>
      <c r="C66">
        <v>641943</v>
      </c>
      <c r="D66" t="s">
        <v>48</v>
      </c>
      <c r="E66" t="s">
        <v>36</v>
      </c>
      <c r="F66">
        <v>111226500.035962</v>
      </c>
      <c r="G66">
        <v>112280604.783749</v>
      </c>
      <c r="H66">
        <v>112507521.803554</v>
      </c>
      <c r="I66">
        <v>108891373.52058201</v>
      </c>
      <c r="J66">
        <v>174.90743692781101</v>
      </c>
      <c r="K66">
        <v>175.26092161384099</v>
      </c>
      <c r="L66">
        <v>169.627791751888</v>
      </c>
      <c r="M66">
        <v>46348334.923000596</v>
      </c>
      <c r="N66">
        <v>34321582.951299302</v>
      </c>
      <c r="O66">
        <v>85508819</v>
      </c>
      <c r="P66">
        <v>130778457</v>
      </c>
      <c r="Q66">
        <v>960189351.92221606</v>
      </c>
      <c r="R66">
        <v>13429</v>
      </c>
      <c r="S66">
        <v>9518</v>
      </c>
      <c r="T66">
        <v>7227</v>
      </c>
      <c r="U66">
        <v>5252</v>
      </c>
      <c r="V66">
        <v>2906</v>
      </c>
      <c r="W66" s="6" t="str">
        <f>VLOOKUP(E66,Segments!$B$1:$C$12,2,0)</f>
        <v>High</v>
      </c>
      <c r="Z66" t="s">
        <v>2392</v>
      </c>
    </row>
    <row r="67" spans="1:26" x14ac:dyDescent="0.35">
      <c r="A67" s="1">
        <v>44228</v>
      </c>
      <c r="B67">
        <v>24998823</v>
      </c>
      <c r="C67">
        <v>741027</v>
      </c>
      <c r="D67" t="s">
        <v>48</v>
      </c>
      <c r="E67" t="s">
        <v>37</v>
      </c>
      <c r="F67">
        <v>180929499.66648301</v>
      </c>
      <c r="G67">
        <v>184075370.458011</v>
      </c>
      <c r="H67">
        <v>181750208.24941701</v>
      </c>
      <c r="I67">
        <v>176962920.29202101</v>
      </c>
      <c r="J67">
        <v>248.40575371479201</v>
      </c>
      <c r="K67">
        <v>245.267997319149</v>
      </c>
      <c r="L67">
        <v>238.807655175886</v>
      </c>
      <c r="M67">
        <v>71180632.374399498</v>
      </c>
      <c r="N67">
        <v>61565530.007099099</v>
      </c>
      <c r="O67">
        <v>138719524</v>
      </c>
      <c r="P67">
        <v>179772306</v>
      </c>
      <c r="Q67">
        <v>1583235279.4636099</v>
      </c>
      <c r="R67">
        <v>10773</v>
      </c>
      <c r="S67">
        <v>7894</v>
      </c>
      <c r="T67">
        <v>6018</v>
      </c>
      <c r="U67">
        <v>4417</v>
      </c>
      <c r="V67">
        <v>2519</v>
      </c>
      <c r="W67" s="6" t="str">
        <f>VLOOKUP(E67,Segments!$B$1:$C$12,2,0)</f>
        <v>High</v>
      </c>
      <c r="Z67" t="s">
        <v>2392</v>
      </c>
    </row>
    <row r="68" spans="1:26" x14ac:dyDescent="0.35">
      <c r="A68" s="1">
        <v>44228</v>
      </c>
      <c r="B68">
        <v>24998823</v>
      </c>
      <c r="C68">
        <v>1305214</v>
      </c>
      <c r="D68" t="s">
        <v>48</v>
      </c>
      <c r="E68" t="s">
        <v>38</v>
      </c>
      <c r="F68">
        <v>48081046.363827899</v>
      </c>
      <c r="G68">
        <v>47280557.413636699</v>
      </c>
      <c r="H68">
        <v>47791751.014564</v>
      </c>
      <c r="I68">
        <v>49170830.663284197</v>
      </c>
      <c r="J68">
        <v>36.224371952520201</v>
      </c>
      <c r="K68">
        <v>36.6160269615281</v>
      </c>
      <c r="L68">
        <v>37.672619710855201</v>
      </c>
      <c r="M68">
        <v>24421934.682401098</v>
      </c>
      <c r="N68">
        <v>8846844.8201999497</v>
      </c>
      <c r="O68">
        <v>38703141</v>
      </c>
      <c r="P68">
        <v>116495738</v>
      </c>
      <c r="Q68">
        <v>451190631.17880702</v>
      </c>
      <c r="R68">
        <v>139760</v>
      </c>
      <c r="S68">
        <v>91691</v>
      </c>
      <c r="T68">
        <v>67723</v>
      </c>
      <c r="U68">
        <v>44007</v>
      </c>
      <c r="V68">
        <v>21744</v>
      </c>
      <c r="W68" s="6" t="str">
        <f>VLOOKUP(E68,Segments!$B$1:$C$12,2,0)</f>
        <v>Medium</v>
      </c>
      <c r="Z68" t="s">
        <v>2391</v>
      </c>
    </row>
    <row r="69" spans="1:26" x14ac:dyDescent="0.35">
      <c r="A69" s="1">
        <v>44228</v>
      </c>
      <c r="B69">
        <v>24998823</v>
      </c>
      <c r="C69">
        <v>608938</v>
      </c>
      <c r="D69" t="s">
        <v>48</v>
      </c>
      <c r="E69" t="s">
        <v>39</v>
      </c>
      <c r="F69">
        <v>232468674.702647</v>
      </c>
      <c r="G69">
        <v>238516704.92333299</v>
      </c>
      <c r="H69">
        <v>231587517.47151399</v>
      </c>
      <c r="I69">
        <v>227301801.71309099</v>
      </c>
      <c r="J69">
        <v>391.692922634708</v>
      </c>
      <c r="K69">
        <v>380.313788056443</v>
      </c>
      <c r="L69">
        <v>373.275771446504</v>
      </c>
      <c r="M69">
        <v>83798486.808799401</v>
      </c>
      <c r="N69">
        <v>90547917.997599497</v>
      </c>
      <c r="O69">
        <v>166856610</v>
      </c>
      <c r="P69">
        <v>184041750</v>
      </c>
      <c r="Q69">
        <v>2059064266.1254399</v>
      </c>
      <c r="R69">
        <v>5632</v>
      </c>
      <c r="S69">
        <v>4157</v>
      </c>
      <c r="T69">
        <v>3176</v>
      </c>
      <c r="U69">
        <v>2348</v>
      </c>
      <c r="V69">
        <v>1399</v>
      </c>
      <c r="W69" s="6" t="str">
        <f>VLOOKUP(E69,Segments!$B$1:$C$12,2,0)</f>
        <v>VHigh</v>
      </c>
      <c r="Z69" t="s">
        <v>2393</v>
      </c>
    </row>
    <row r="70" spans="1:26" x14ac:dyDescent="0.35">
      <c r="A70" s="1">
        <v>44228</v>
      </c>
      <c r="B70">
        <v>24998823</v>
      </c>
      <c r="C70">
        <v>967370</v>
      </c>
      <c r="D70" t="s">
        <v>48</v>
      </c>
      <c r="E70" t="s">
        <v>40</v>
      </c>
      <c r="F70">
        <v>59877443.5405588</v>
      </c>
      <c r="G70">
        <v>59488148.443251699</v>
      </c>
      <c r="H70">
        <v>60361612.431171499</v>
      </c>
      <c r="I70">
        <v>59782569.747253902</v>
      </c>
      <c r="J70">
        <v>61.494721195873097</v>
      </c>
      <c r="K70">
        <v>62.397647674800197</v>
      </c>
      <c r="L70">
        <v>61.799073516083702</v>
      </c>
      <c r="M70">
        <v>29051886.512000099</v>
      </c>
      <c r="N70">
        <v>13586171.8147994</v>
      </c>
      <c r="O70">
        <v>46024514</v>
      </c>
      <c r="P70">
        <v>114691460</v>
      </c>
      <c r="Q70">
        <v>523377414.72842598</v>
      </c>
      <c r="R70">
        <v>60790</v>
      </c>
      <c r="S70">
        <v>40386</v>
      </c>
      <c r="T70">
        <v>30264</v>
      </c>
      <c r="U70">
        <v>20833</v>
      </c>
      <c r="V70">
        <v>10544</v>
      </c>
      <c r="W70" s="6" t="str">
        <f>VLOOKUP(E70,Segments!$B$1:$C$12,2,0)</f>
        <v>Medium</v>
      </c>
      <c r="Z70" t="s">
        <v>2391</v>
      </c>
    </row>
    <row r="71" spans="1:26" x14ac:dyDescent="0.35">
      <c r="A71" s="1">
        <v>44228</v>
      </c>
      <c r="B71">
        <v>24998823</v>
      </c>
      <c r="C71">
        <v>730990</v>
      </c>
      <c r="D71" t="s">
        <v>48</v>
      </c>
      <c r="E71" t="s">
        <v>41</v>
      </c>
      <c r="F71">
        <v>63570616.760746203</v>
      </c>
      <c r="G71">
        <v>63553944.002781197</v>
      </c>
      <c r="H71">
        <v>64357391.939903803</v>
      </c>
      <c r="I71">
        <v>62800514.339551099</v>
      </c>
      <c r="J71">
        <v>86.942289228007496</v>
      </c>
      <c r="K71">
        <v>88.041412249009994</v>
      </c>
      <c r="L71">
        <v>85.911591594346206</v>
      </c>
      <c r="M71">
        <v>29548016.873100299</v>
      </c>
      <c r="N71">
        <v>16118405.268299401</v>
      </c>
      <c r="O71">
        <v>47945771</v>
      </c>
      <c r="P71">
        <v>104153657</v>
      </c>
      <c r="Q71">
        <v>543141719.89696598</v>
      </c>
      <c r="R71">
        <v>31848</v>
      </c>
      <c r="S71">
        <v>21647</v>
      </c>
      <c r="T71">
        <v>16246</v>
      </c>
      <c r="U71">
        <v>11339</v>
      </c>
      <c r="V71">
        <v>5961</v>
      </c>
      <c r="W71" s="6" t="str">
        <f>VLOOKUP(E71,Segments!$B$1:$C$12,2,0)</f>
        <v>Medium</v>
      </c>
      <c r="Z71" t="s">
        <v>2391</v>
      </c>
    </row>
    <row r="72" spans="1:26" x14ac:dyDescent="0.35">
      <c r="A72" s="1">
        <v>44228</v>
      </c>
      <c r="B72">
        <v>24998823</v>
      </c>
      <c r="C72">
        <v>423465</v>
      </c>
      <c r="D72" t="s">
        <v>48</v>
      </c>
      <c r="E72" t="s">
        <v>42</v>
      </c>
      <c r="F72">
        <v>338569519.060471</v>
      </c>
      <c r="G72">
        <v>352413947.15632403</v>
      </c>
      <c r="H72">
        <v>331632459.31059003</v>
      </c>
      <c r="I72">
        <v>331662150.71448898</v>
      </c>
      <c r="J72">
        <v>832.21505238053703</v>
      </c>
      <c r="K72">
        <v>783.14018705345302</v>
      </c>
      <c r="L72">
        <v>783.21030242048198</v>
      </c>
      <c r="M72">
        <v>118567597.26989999</v>
      </c>
      <c r="N72">
        <v>164747681.48809901</v>
      </c>
      <c r="O72">
        <v>193562186</v>
      </c>
      <c r="P72">
        <v>179211713</v>
      </c>
      <c r="Q72">
        <v>3159220045.8450899</v>
      </c>
      <c r="R72">
        <v>2114</v>
      </c>
      <c r="S72">
        <v>1570</v>
      </c>
      <c r="T72">
        <v>1167</v>
      </c>
      <c r="U72">
        <v>871</v>
      </c>
      <c r="V72">
        <v>532</v>
      </c>
      <c r="W72" s="6" t="str">
        <f>VLOOKUP(E72,Segments!$B$1:$C$12,2,0)</f>
        <v>VHigh</v>
      </c>
      <c r="Z72" t="s">
        <v>2393</v>
      </c>
    </row>
    <row r="73" spans="1:26" x14ac:dyDescent="0.35">
      <c r="A73" s="1">
        <v>44228</v>
      </c>
      <c r="B73">
        <v>24998823</v>
      </c>
      <c r="C73">
        <v>16750</v>
      </c>
      <c r="D73" t="s">
        <v>48</v>
      </c>
      <c r="E73" t="s">
        <v>43</v>
      </c>
      <c r="F73">
        <v>-221153.448257257</v>
      </c>
      <c r="G73">
        <v>-230858.93091027401</v>
      </c>
      <c r="H73">
        <v>-205477.631956714</v>
      </c>
      <c r="I73">
        <v>-227123.78190478499</v>
      </c>
      <c r="J73">
        <v>-13.782622740911799</v>
      </c>
      <c r="K73">
        <v>-12.267321310848599</v>
      </c>
      <c r="L73">
        <v>-13.5596287704349</v>
      </c>
      <c r="M73">
        <v>75682.130499999999</v>
      </c>
      <c r="N73">
        <v>17697.3505</v>
      </c>
      <c r="O73">
        <v>132034</v>
      </c>
      <c r="P73">
        <v>355522</v>
      </c>
      <c r="Q73">
        <v>3258717.4370031301</v>
      </c>
      <c r="R73">
        <v>7480</v>
      </c>
      <c r="S73">
        <v>6256</v>
      </c>
      <c r="T73">
        <v>4837</v>
      </c>
      <c r="U73">
        <v>2812</v>
      </c>
      <c r="V73">
        <v>1781</v>
      </c>
      <c r="W73" s="6" t="str">
        <f>VLOOKUP(E73,Segments!$B$1:$C$12,2,0)</f>
        <v>Low</v>
      </c>
      <c r="Z73" t="s">
        <v>2390</v>
      </c>
    </row>
    <row r="74" spans="1:26" x14ac:dyDescent="0.35">
      <c r="A74" s="1">
        <v>44256</v>
      </c>
      <c r="B74">
        <v>25101804</v>
      </c>
      <c r="C74">
        <v>3250209</v>
      </c>
      <c r="D74" t="s">
        <v>31</v>
      </c>
      <c r="E74" t="s">
        <v>32</v>
      </c>
      <c r="F74">
        <v>7528800.2464997899</v>
      </c>
      <c r="G74">
        <v>13314418.678070899</v>
      </c>
      <c r="H74">
        <v>5974911.2572705401</v>
      </c>
      <c r="I74">
        <v>3297070.8041851199</v>
      </c>
      <c r="J74">
        <v>4.0964807734121003</v>
      </c>
      <c r="K74">
        <v>1.8383160151456499</v>
      </c>
      <c r="L74">
        <v>1.0144180894782799</v>
      </c>
      <c r="M74">
        <v>7127026.5899937199</v>
      </c>
      <c r="N74">
        <v>3401556.9100009701</v>
      </c>
      <c r="O74">
        <v>8368579</v>
      </c>
      <c r="P74">
        <v>16829965</v>
      </c>
      <c r="Q74">
        <v>835653942.04734004</v>
      </c>
      <c r="R74">
        <v>2445490</v>
      </c>
      <c r="S74">
        <v>2263728</v>
      </c>
      <c r="T74">
        <v>2099572</v>
      </c>
      <c r="U74">
        <v>1527653</v>
      </c>
      <c r="V74">
        <v>839303</v>
      </c>
      <c r="W74" s="6" t="str">
        <f>VLOOKUP(E74,Segments!$B$1:$C$12,2,0)</f>
        <v>Low</v>
      </c>
      <c r="Z74" t="s">
        <v>2390</v>
      </c>
    </row>
    <row r="75" spans="1:26" x14ac:dyDescent="0.35">
      <c r="A75" s="1">
        <v>44256</v>
      </c>
      <c r="B75">
        <v>25101804</v>
      </c>
      <c r="C75">
        <v>1194287</v>
      </c>
      <c r="D75" t="s">
        <v>31</v>
      </c>
      <c r="E75" t="s">
        <v>33</v>
      </c>
      <c r="F75">
        <v>17513450.499558199</v>
      </c>
      <c r="G75">
        <v>29295873.611589201</v>
      </c>
      <c r="H75">
        <v>15573124.394848401</v>
      </c>
      <c r="I75">
        <v>7671353.4922529804</v>
      </c>
      <c r="J75">
        <v>24.5300113051462</v>
      </c>
      <c r="K75">
        <v>13.0396834218646</v>
      </c>
      <c r="L75">
        <v>6.4233751956212997</v>
      </c>
      <c r="M75">
        <v>12381499.520003499</v>
      </c>
      <c r="N75">
        <v>8514924.2800003998</v>
      </c>
      <c r="O75">
        <v>16647202</v>
      </c>
      <c r="P75">
        <v>21321985</v>
      </c>
      <c r="Q75">
        <v>705612926.92254901</v>
      </c>
      <c r="R75">
        <v>680014</v>
      </c>
      <c r="S75">
        <v>624105</v>
      </c>
      <c r="T75">
        <v>580778</v>
      </c>
      <c r="U75">
        <v>444583</v>
      </c>
      <c r="V75">
        <v>239718</v>
      </c>
      <c r="W75" s="6" t="str">
        <f>VLOOKUP(E75,Segments!$B$1:$C$12,2,0)</f>
        <v>Low</v>
      </c>
      <c r="Z75" t="s">
        <v>2390</v>
      </c>
    </row>
    <row r="76" spans="1:26" x14ac:dyDescent="0.35">
      <c r="A76" s="1">
        <v>44256</v>
      </c>
      <c r="B76">
        <v>25101804</v>
      </c>
      <c r="C76">
        <v>71296</v>
      </c>
      <c r="D76" t="s">
        <v>31</v>
      </c>
      <c r="E76" t="s">
        <v>34</v>
      </c>
      <c r="F76">
        <v>7948333.2794831404</v>
      </c>
      <c r="G76">
        <v>12959038.417453</v>
      </c>
      <c r="H76">
        <v>8324889.8836164698</v>
      </c>
      <c r="I76">
        <v>2561071.5373800602</v>
      </c>
      <c r="J76">
        <v>181.76389162720201</v>
      </c>
      <c r="K76">
        <v>116.765174534566</v>
      </c>
      <c r="L76">
        <v>35.921672146825401</v>
      </c>
      <c r="M76">
        <v>5218064.6199999396</v>
      </c>
      <c r="N76">
        <v>4266597.6709000198</v>
      </c>
      <c r="O76">
        <v>7884788</v>
      </c>
      <c r="P76">
        <v>7129665</v>
      </c>
      <c r="Q76">
        <v>236342359.33057699</v>
      </c>
      <c r="R76">
        <v>12393</v>
      </c>
      <c r="S76">
        <v>10731</v>
      </c>
      <c r="T76">
        <v>9566</v>
      </c>
      <c r="U76">
        <v>8254</v>
      </c>
      <c r="V76">
        <v>5534</v>
      </c>
      <c r="W76" s="6" t="str">
        <f>VLOOKUP(E76,Segments!$B$1:$C$12,2,0)</f>
        <v>Medium</v>
      </c>
      <c r="Z76" t="s">
        <v>2391</v>
      </c>
    </row>
    <row r="77" spans="1:26" x14ac:dyDescent="0.35">
      <c r="A77" s="1">
        <v>44256</v>
      </c>
      <c r="B77">
        <v>25101804</v>
      </c>
      <c r="C77">
        <v>44478</v>
      </c>
      <c r="D77" t="s">
        <v>31</v>
      </c>
      <c r="E77" t="s">
        <v>35</v>
      </c>
      <c r="F77">
        <v>6071299.2805713797</v>
      </c>
      <c r="G77">
        <v>9787056.0504244994</v>
      </c>
      <c r="H77">
        <v>6470298.0160774998</v>
      </c>
      <c r="I77">
        <v>1956543.7752121501</v>
      </c>
      <c r="J77">
        <v>220.04262894969401</v>
      </c>
      <c r="K77">
        <v>145.47187409680001</v>
      </c>
      <c r="L77">
        <v>43.989023229735103</v>
      </c>
      <c r="M77">
        <v>3892846.2399999802</v>
      </c>
      <c r="N77">
        <v>3303574.8</v>
      </c>
      <c r="O77">
        <v>5918630</v>
      </c>
      <c r="P77">
        <v>5066168</v>
      </c>
      <c r="Q77">
        <v>173687133.10041201</v>
      </c>
      <c r="R77">
        <v>7228</v>
      </c>
      <c r="S77">
        <v>6332</v>
      </c>
      <c r="T77">
        <v>5723</v>
      </c>
      <c r="U77">
        <v>5023</v>
      </c>
      <c r="V77">
        <v>3371</v>
      </c>
      <c r="W77" s="6" t="str">
        <f>VLOOKUP(E77,Segments!$B$1:$C$12,2,0)</f>
        <v>High</v>
      </c>
      <c r="Z77" t="s">
        <v>2392</v>
      </c>
    </row>
    <row r="78" spans="1:26" x14ac:dyDescent="0.35">
      <c r="A78" s="1">
        <v>44256</v>
      </c>
      <c r="B78">
        <v>25101804</v>
      </c>
      <c r="C78">
        <v>49365</v>
      </c>
      <c r="D78" t="s">
        <v>31</v>
      </c>
      <c r="E78" t="s">
        <v>36</v>
      </c>
      <c r="F78">
        <v>8474688.4306119606</v>
      </c>
      <c r="G78">
        <v>13445830.519670701</v>
      </c>
      <c r="H78">
        <v>9121219.7509085909</v>
      </c>
      <c r="I78">
        <v>2857015.0212566</v>
      </c>
      <c r="J78">
        <v>272.37578283542501</v>
      </c>
      <c r="K78">
        <v>184.770986547322</v>
      </c>
      <c r="L78">
        <v>57.875316950402201</v>
      </c>
      <c r="M78">
        <v>5161457.3799999701</v>
      </c>
      <c r="N78">
        <v>4812024.5109000104</v>
      </c>
      <c r="O78">
        <v>7843088</v>
      </c>
      <c r="P78">
        <v>6382376</v>
      </c>
      <c r="Q78">
        <v>235514156.260153</v>
      </c>
      <c r="R78">
        <v>7436</v>
      </c>
      <c r="S78">
        <v>6591</v>
      </c>
      <c r="T78">
        <v>5931</v>
      </c>
      <c r="U78">
        <v>5169</v>
      </c>
      <c r="V78">
        <v>3479</v>
      </c>
      <c r="W78" s="6" t="str">
        <f>VLOOKUP(E78,Segments!$B$1:$C$12,2,0)</f>
        <v>High</v>
      </c>
      <c r="Z78" t="s">
        <v>2392</v>
      </c>
    </row>
    <row r="79" spans="1:26" x14ac:dyDescent="0.35">
      <c r="A79" s="1">
        <v>44256</v>
      </c>
      <c r="B79">
        <v>25101804</v>
      </c>
      <c r="C79">
        <v>38755</v>
      </c>
      <c r="D79" t="s">
        <v>31</v>
      </c>
      <c r="E79" t="s">
        <v>37</v>
      </c>
      <c r="F79">
        <v>9326633.8183075208</v>
      </c>
      <c r="G79">
        <v>14646311.4544171</v>
      </c>
      <c r="H79">
        <v>10153468.6169292</v>
      </c>
      <c r="I79">
        <v>3180121.3835762502</v>
      </c>
      <c r="J79">
        <v>377.92056391219398</v>
      </c>
      <c r="K79">
        <v>261.99119125091602</v>
      </c>
      <c r="L79">
        <v>82.057060600599897</v>
      </c>
      <c r="M79">
        <v>5465281.04999997</v>
      </c>
      <c r="N79">
        <v>5619348.3499999996</v>
      </c>
      <c r="O79">
        <v>8071245</v>
      </c>
      <c r="P79">
        <v>6126044</v>
      </c>
      <c r="Q79">
        <v>242028376.80680099</v>
      </c>
      <c r="R79">
        <v>4954</v>
      </c>
      <c r="S79">
        <v>4428</v>
      </c>
      <c r="T79">
        <v>4010</v>
      </c>
      <c r="U79">
        <v>3545</v>
      </c>
      <c r="V79">
        <v>2411</v>
      </c>
      <c r="W79" s="6" t="str">
        <f>VLOOKUP(E79,Segments!$B$1:$C$12,2,0)</f>
        <v>High</v>
      </c>
      <c r="Z79" t="s">
        <v>2392</v>
      </c>
    </row>
    <row r="80" spans="1:26" x14ac:dyDescent="0.35">
      <c r="A80" s="1">
        <v>44256</v>
      </c>
      <c r="B80">
        <v>25101804</v>
      </c>
      <c r="C80">
        <v>558826</v>
      </c>
      <c r="D80" t="s">
        <v>31</v>
      </c>
      <c r="E80" t="s">
        <v>38</v>
      </c>
      <c r="F80">
        <v>19834139.622404002</v>
      </c>
      <c r="G80">
        <v>35034871.216510303</v>
      </c>
      <c r="H80">
        <v>18236028.067272399</v>
      </c>
      <c r="I80">
        <v>6231519.5834322302</v>
      </c>
      <c r="J80">
        <v>62.6937028994898</v>
      </c>
      <c r="K80">
        <v>32.632748059811902</v>
      </c>
      <c r="L80">
        <v>11.1510910076342</v>
      </c>
      <c r="M80">
        <v>15786280.120002899</v>
      </c>
      <c r="N80">
        <v>10640750.8408996</v>
      </c>
      <c r="O80">
        <v>21004127</v>
      </c>
      <c r="P80">
        <v>25576958</v>
      </c>
      <c r="Q80">
        <v>672030591.87739599</v>
      </c>
      <c r="R80">
        <v>173546</v>
      </c>
      <c r="S80">
        <v>147546</v>
      </c>
      <c r="T80">
        <v>129419</v>
      </c>
      <c r="U80">
        <v>105922</v>
      </c>
      <c r="V80">
        <v>66532</v>
      </c>
      <c r="W80" s="6" t="str">
        <f>VLOOKUP(E80,Segments!$B$1:$C$12,2,0)</f>
        <v>Medium</v>
      </c>
      <c r="Z80" t="s">
        <v>2391</v>
      </c>
    </row>
    <row r="81" spans="1:26" x14ac:dyDescent="0.35">
      <c r="A81" s="1">
        <v>44256</v>
      </c>
      <c r="B81">
        <v>25101804</v>
      </c>
      <c r="C81">
        <v>20581</v>
      </c>
      <c r="D81" t="s">
        <v>31</v>
      </c>
      <c r="E81" t="s">
        <v>39</v>
      </c>
      <c r="F81">
        <v>7701114.2775861304</v>
      </c>
      <c r="G81">
        <v>11753329.2271684</v>
      </c>
      <c r="H81">
        <v>8539551.9559757393</v>
      </c>
      <c r="I81">
        <v>2810461.6496142801</v>
      </c>
      <c r="J81">
        <v>571.07668369702105</v>
      </c>
      <c r="K81">
        <v>414.92405402923703</v>
      </c>
      <c r="L81">
        <v>136.55612699160699</v>
      </c>
      <c r="M81">
        <v>4225998.28</v>
      </c>
      <c r="N81">
        <v>4974952.6617999999</v>
      </c>
      <c r="O81">
        <v>5893412</v>
      </c>
      <c r="P81">
        <v>4235596</v>
      </c>
      <c r="Q81">
        <v>180811000.85152301</v>
      </c>
      <c r="R81">
        <v>2186</v>
      </c>
      <c r="S81">
        <v>1952</v>
      </c>
      <c r="T81">
        <v>1793</v>
      </c>
      <c r="U81">
        <v>1586</v>
      </c>
      <c r="V81">
        <v>1052</v>
      </c>
      <c r="W81" s="6" t="str">
        <f>VLOOKUP(E81,Segments!$B$1:$C$12,2,0)</f>
        <v>VHigh</v>
      </c>
      <c r="Z81" t="s">
        <v>2393</v>
      </c>
    </row>
    <row r="82" spans="1:26" x14ac:dyDescent="0.35">
      <c r="A82" s="1">
        <v>44256</v>
      </c>
      <c r="B82">
        <v>25101804</v>
      </c>
      <c r="C82">
        <v>241880</v>
      </c>
      <c r="D82" t="s">
        <v>31</v>
      </c>
      <c r="E82" t="s">
        <v>40</v>
      </c>
      <c r="F82">
        <v>14760491.608335</v>
      </c>
      <c r="G82">
        <v>25112184.5710821</v>
      </c>
      <c r="H82">
        <v>14559330.866660601</v>
      </c>
      <c r="I82">
        <v>4609959.3872629702</v>
      </c>
      <c r="J82">
        <v>103.82083913958201</v>
      </c>
      <c r="K82">
        <v>60.1923716994404</v>
      </c>
      <c r="L82">
        <v>19.058869634789801</v>
      </c>
      <c r="M82">
        <v>10702352.2600001</v>
      </c>
      <c r="N82">
        <v>7842755.3700000998</v>
      </c>
      <c r="O82">
        <v>15144462</v>
      </c>
      <c r="P82">
        <v>16566669</v>
      </c>
      <c r="Q82">
        <v>476338867.13049197</v>
      </c>
      <c r="R82">
        <v>57124</v>
      </c>
      <c r="S82">
        <v>48777</v>
      </c>
      <c r="T82">
        <v>43123</v>
      </c>
      <c r="U82">
        <v>36311</v>
      </c>
      <c r="V82">
        <v>23619</v>
      </c>
      <c r="W82" s="6" t="str">
        <f>VLOOKUP(E82,Segments!$B$1:$C$12,2,0)</f>
        <v>Medium</v>
      </c>
      <c r="Z82" t="s">
        <v>2391</v>
      </c>
    </row>
    <row r="83" spans="1:26" x14ac:dyDescent="0.35">
      <c r="A83" s="1">
        <v>44256</v>
      </c>
      <c r="B83">
        <v>25101804</v>
      </c>
      <c r="C83">
        <v>124853</v>
      </c>
      <c r="D83" t="s">
        <v>31</v>
      </c>
      <c r="E83" t="s">
        <v>41</v>
      </c>
      <c r="F83">
        <v>10766871.5812866</v>
      </c>
      <c r="G83">
        <v>17889730.111641899</v>
      </c>
      <c r="H83">
        <v>11002052.9516176</v>
      </c>
      <c r="I83">
        <v>3408831.6806005598</v>
      </c>
      <c r="J83">
        <v>143.286345635603</v>
      </c>
      <c r="K83">
        <v>88.1200527950283</v>
      </c>
      <c r="L83">
        <v>27.302761492319402</v>
      </c>
      <c r="M83">
        <v>7368089.03999981</v>
      </c>
      <c r="N83">
        <v>5757466.2509000404</v>
      </c>
      <c r="O83">
        <v>10982853</v>
      </c>
      <c r="P83">
        <v>10764493</v>
      </c>
      <c r="Q83">
        <v>330979818.84142399</v>
      </c>
      <c r="R83">
        <v>24586</v>
      </c>
      <c r="S83">
        <v>21255</v>
      </c>
      <c r="T83">
        <v>18900</v>
      </c>
      <c r="U83">
        <v>16166</v>
      </c>
      <c r="V83">
        <v>10790</v>
      </c>
      <c r="W83" s="6" t="str">
        <f>VLOOKUP(E83,Segments!$B$1:$C$12,2,0)</f>
        <v>Medium</v>
      </c>
      <c r="Z83" t="s">
        <v>2391</v>
      </c>
    </row>
    <row r="84" spans="1:26" x14ac:dyDescent="0.35">
      <c r="A84" s="1">
        <v>44256</v>
      </c>
      <c r="B84">
        <v>25101804</v>
      </c>
      <c r="C84">
        <v>8757</v>
      </c>
      <c r="D84" t="s">
        <v>31</v>
      </c>
      <c r="E84" t="s">
        <v>42</v>
      </c>
      <c r="F84">
        <v>7016023.9485567799</v>
      </c>
      <c r="G84">
        <v>10208413.8757807</v>
      </c>
      <c r="H84">
        <v>7952407.7668776</v>
      </c>
      <c r="I84">
        <v>2887250.20301197</v>
      </c>
      <c r="J84">
        <v>1165.7432768962799</v>
      </c>
      <c r="K84">
        <v>908.12010584419295</v>
      </c>
      <c r="L84">
        <v>329.70768562429703</v>
      </c>
      <c r="M84">
        <v>3203709.71</v>
      </c>
      <c r="N84">
        <v>4886346.5199999996</v>
      </c>
      <c r="O84">
        <v>3576058</v>
      </c>
      <c r="P84">
        <v>2623504</v>
      </c>
      <c r="Q84">
        <v>140684636.832715</v>
      </c>
      <c r="R84">
        <v>773</v>
      </c>
      <c r="S84">
        <v>701</v>
      </c>
      <c r="T84">
        <v>652</v>
      </c>
      <c r="U84">
        <v>555</v>
      </c>
      <c r="V84">
        <v>347</v>
      </c>
      <c r="W84" s="6" t="str">
        <f>VLOOKUP(E84,Segments!$B$1:$C$12,2,0)</f>
        <v>VHigh</v>
      </c>
      <c r="Z84" t="s">
        <v>2393</v>
      </c>
    </row>
    <row r="85" spans="1:26" x14ac:dyDescent="0.35">
      <c r="A85" s="1">
        <v>44256</v>
      </c>
      <c r="B85">
        <v>25101804</v>
      </c>
      <c r="C85">
        <v>84902</v>
      </c>
      <c r="D85" t="s">
        <v>31</v>
      </c>
      <c r="E85" t="s">
        <v>43</v>
      </c>
      <c r="F85">
        <v>-154338.883966116</v>
      </c>
      <c r="G85">
        <v>-259254.537899638</v>
      </c>
      <c r="H85">
        <v>-125879.139280655</v>
      </c>
      <c r="I85">
        <v>-77882.974718058802</v>
      </c>
      <c r="J85">
        <v>-3.0535739782294602</v>
      </c>
      <c r="K85">
        <v>-1.4826404475825601</v>
      </c>
      <c r="L85">
        <v>-0.91732791592729002</v>
      </c>
      <c r="M85">
        <v>63552.239999999903</v>
      </c>
      <c r="N85">
        <v>12176.73</v>
      </c>
      <c r="O85">
        <v>256826</v>
      </c>
      <c r="P85">
        <v>151213</v>
      </c>
      <c r="Q85">
        <v>238384094.528862</v>
      </c>
      <c r="R85">
        <v>34632</v>
      </c>
      <c r="S85">
        <v>32379</v>
      </c>
      <c r="T85">
        <v>30169</v>
      </c>
      <c r="U85">
        <v>24513</v>
      </c>
      <c r="V85">
        <v>16435</v>
      </c>
      <c r="W85" s="6" t="str">
        <f>VLOOKUP(E85,Segments!$B$1:$C$12,2,0)</f>
        <v>Low</v>
      </c>
      <c r="Z85" t="s">
        <v>2390</v>
      </c>
    </row>
    <row r="86" spans="1:26" x14ac:dyDescent="0.35">
      <c r="A86" s="1">
        <v>44256</v>
      </c>
      <c r="B86">
        <v>25101804</v>
      </c>
      <c r="C86">
        <v>1029655</v>
      </c>
      <c r="D86" t="s">
        <v>44</v>
      </c>
      <c r="E86" t="s">
        <v>32</v>
      </c>
      <c r="F86">
        <v>3044254.6567248702</v>
      </c>
      <c r="G86">
        <v>2426215.7871387</v>
      </c>
      <c r="H86">
        <v>2354126.0199326202</v>
      </c>
      <c r="I86">
        <v>4352422.1631046599</v>
      </c>
      <c r="J86">
        <v>2.3563385669361998</v>
      </c>
      <c r="K86">
        <v>2.2863250505583101</v>
      </c>
      <c r="L86">
        <v>4.2270684482711802</v>
      </c>
      <c r="M86">
        <v>926207.99000000698</v>
      </c>
      <c r="N86">
        <v>421732.11999998998</v>
      </c>
      <c r="O86">
        <v>1506518</v>
      </c>
      <c r="P86">
        <v>15112773</v>
      </c>
      <c r="Q86">
        <v>627149815.31882298</v>
      </c>
      <c r="R86">
        <v>709729</v>
      </c>
      <c r="S86">
        <v>611878</v>
      </c>
      <c r="T86">
        <v>510611</v>
      </c>
      <c r="U86">
        <v>282070</v>
      </c>
      <c r="V86">
        <v>149944</v>
      </c>
      <c r="W86" s="6" t="str">
        <f>VLOOKUP(E86,Segments!$B$1:$C$12,2,0)</f>
        <v>Low</v>
      </c>
      <c r="Z86" t="s">
        <v>2390</v>
      </c>
    </row>
    <row r="87" spans="1:26" x14ac:dyDescent="0.35">
      <c r="A87" s="1">
        <v>44256</v>
      </c>
      <c r="B87">
        <v>25101804</v>
      </c>
      <c r="C87">
        <v>525029</v>
      </c>
      <c r="D87" t="s">
        <v>44</v>
      </c>
      <c r="E87" t="s">
        <v>33</v>
      </c>
      <c r="F87">
        <v>8810892.5045984406</v>
      </c>
      <c r="G87">
        <v>7920195.7963337004</v>
      </c>
      <c r="H87">
        <v>7223320.3911520001</v>
      </c>
      <c r="I87">
        <v>11289161.326310899</v>
      </c>
      <c r="J87">
        <v>15.0852539504174</v>
      </c>
      <c r="K87">
        <v>13.7579455442499</v>
      </c>
      <c r="L87">
        <v>21.501976702831499</v>
      </c>
      <c r="M87">
        <v>3199127.26999981</v>
      </c>
      <c r="N87">
        <v>1997528.17000006</v>
      </c>
      <c r="O87">
        <v>5891377</v>
      </c>
      <c r="P87">
        <v>19794723</v>
      </c>
      <c r="Q87">
        <v>149642078.01192701</v>
      </c>
      <c r="R87">
        <v>215502</v>
      </c>
      <c r="S87">
        <v>170137</v>
      </c>
      <c r="T87">
        <v>138130</v>
      </c>
      <c r="U87">
        <v>82208</v>
      </c>
      <c r="V87">
        <v>44006</v>
      </c>
      <c r="W87" s="6" t="str">
        <f>VLOOKUP(E87,Segments!$B$1:$C$12,2,0)</f>
        <v>Low</v>
      </c>
      <c r="Z87" t="s">
        <v>2390</v>
      </c>
    </row>
    <row r="88" spans="1:26" x14ac:dyDescent="0.35">
      <c r="A88" s="1">
        <v>44256</v>
      </c>
      <c r="B88">
        <v>25101804</v>
      </c>
      <c r="C88">
        <v>156016</v>
      </c>
      <c r="D88" t="s">
        <v>44</v>
      </c>
      <c r="E88" t="s">
        <v>34</v>
      </c>
      <c r="F88">
        <v>17438220.792760599</v>
      </c>
      <c r="G88">
        <v>18180617.2662859</v>
      </c>
      <c r="H88">
        <v>16440380.2596904</v>
      </c>
      <c r="I88">
        <v>17693664.852305401</v>
      </c>
      <c r="J88">
        <v>116.530466530906</v>
      </c>
      <c r="K88">
        <v>105.37624512671999</v>
      </c>
      <c r="L88">
        <v>113.409296817669</v>
      </c>
      <c r="M88">
        <v>5999181.6999998903</v>
      </c>
      <c r="N88">
        <v>6452070.1527000396</v>
      </c>
      <c r="O88">
        <v>9836187</v>
      </c>
      <c r="P88">
        <v>20155744</v>
      </c>
      <c r="Q88">
        <v>251696073.395991</v>
      </c>
      <c r="R88">
        <v>13706</v>
      </c>
      <c r="S88">
        <v>10226</v>
      </c>
      <c r="T88">
        <v>8280</v>
      </c>
      <c r="U88">
        <v>6291</v>
      </c>
      <c r="V88">
        <v>4146</v>
      </c>
      <c r="W88" s="6" t="str">
        <f>VLOOKUP(E88,Segments!$B$1:$C$12,2,0)</f>
        <v>Medium</v>
      </c>
      <c r="Z88" t="s">
        <v>2391</v>
      </c>
    </row>
    <row r="89" spans="1:26" x14ac:dyDescent="0.35">
      <c r="A89" s="1">
        <v>44256</v>
      </c>
      <c r="B89">
        <v>25101804</v>
      </c>
      <c r="C89">
        <v>112646</v>
      </c>
      <c r="D89" t="s">
        <v>44</v>
      </c>
      <c r="E89" t="s">
        <v>35</v>
      </c>
      <c r="F89">
        <v>15418719.9762333</v>
      </c>
      <c r="G89">
        <v>16158556.191597899</v>
      </c>
      <c r="H89">
        <v>14587994.6342158</v>
      </c>
      <c r="I89">
        <v>15509609.102886099</v>
      </c>
      <c r="J89">
        <v>143.445450274292</v>
      </c>
      <c r="K89">
        <v>129.502997303196</v>
      </c>
      <c r="L89">
        <v>137.684508130658</v>
      </c>
      <c r="M89">
        <v>5137024.8599999296</v>
      </c>
      <c r="N89">
        <v>5909784.37090002</v>
      </c>
      <c r="O89">
        <v>8732138</v>
      </c>
      <c r="P89">
        <v>16392054</v>
      </c>
      <c r="Q89">
        <v>219974483.88572401</v>
      </c>
      <c r="R89">
        <v>8232</v>
      </c>
      <c r="S89">
        <v>6307</v>
      </c>
      <c r="T89">
        <v>5171</v>
      </c>
      <c r="U89">
        <v>3955</v>
      </c>
      <c r="V89">
        <v>2641</v>
      </c>
      <c r="W89" s="6" t="str">
        <f>VLOOKUP(E89,Segments!$B$1:$C$12,2,0)</f>
        <v>High</v>
      </c>
      <c r="Z89" t="s">
        <v>2392</v>
      </c>
    </row>
    <row r="90" spans="1:26" x14ac:dyDescent="0.35">
      <c r="A90" s="1">
        <v>44256</v>
      </c>
      <c r="B90">
        <v>25101804</v>
      </c>
      <c r="C90">
        <v>146279</v>
      </c>
      <c r="D90" t="s">
        <v>44</v>
      </c>
      <c r="E90" t="s">
        <v>36</v>
      </c>
      <c r="F90">
        <v>25274790.040201299</v>
      </c>
      <c r="G90">
        <v>26526512.790506899</v>
      </c>
      <c r="H90">
        <v>24101781.795765702</v>
      </c>
      <c r="I90">
        <v>25196075.534331299</v>
      </c>
      <c r="J90">
        <v>181.34190683903299</v>
      </c>
      <c r="K90">
        <v>164.76583648894001</v>
      </c>
      <c r="L90">
        <v>172.24670345252099</v>
      </c>
      <c r="M90">
        <v>8205782.04999993</v>
      </c>
      <c r="N90">
        <v>9849907.6326999702</v>
      </c>
      <c r="O90">
        <v>14551967</v>
      </c>
      <c r="P90">
        <v>24148350</v>
      </c>
      <c r="Q90">
        <v>350775285.21985698</v>
      </c>
      <c r="R90">
        <v>9069</v>
      </c>
      <c r="S90">
        <v>6934</v>
      </c>
      <c r="T90">
        <v>5661</v>
      </c>
      <c r="U90">
        <v>4403</v>
      </c>
      <c r="V90">
        <v>2997</v>
      </c>
      <c r="W90" s="6" t="str">
        <f>VLOOKUP(E90,Segments!$B$1:$C$12,2,0)</f>
        <v>High</v>
      </c>
      <c r="Z90" t="s">
        <v>2392</v>
      </c>
    </row>
    <row r="91" spans="1:26" x14ac:dyDescent="0.35">
      <c r="A91" s="1">
        <v>44256</v>
      </c>
      <c r="B91">
        <v>25101804</v>
      </c>
      <c r="C91">
        <v>145187</v>
      </c>
      <c r="D91" t="s">
        <v>44</v>
      </c>
      <c r="E91" t="s">
        <v>37</v>
      </c>
      <c r="F91">
        <v>35249113.9040334</v>
      </c>
      <c r="G91">
        <v>37215569.3059135</v>
      </c>
      <c r="H91">
        <v>33762814.925894402</v>
      </c>
      <c r="I91">
        <v>34768957.480292</v>
      </c>
      <c r="J91">
        <v>256.32852325561799</v>
      </c>
      <c r="K91">
        <v>232.54709392641499</v>
      </c>
      <c r="L91">
        <v>239.477070814136</v>
      </c>
      <c r="M91">
        <v>11096396.210000001</v>
      </c>
      <c r="N91">
        <v>14245397.392699899</v>
      </c>
      <c r="O91">
        <v>20387102</v>
      </c>
      <c r="P91">
        <v>28400180</v>
      </c>
      <c r="Q91">
        <v>471037900.50402403</v>
      </c>
      <c r="R91">
        <v>6677</v>
      </c>
      <c r="S91">
        <v>5175</v>
      </c>
      <c r="T91">
        <v>4232</v>
      </c>
      <c r="U91">
        <v>3348</v>
      </c>
      <c r="V91">
        <v>2285</v>
      </c>
      <c r="W91" s="6" t="str">
        <f>VLOOKUP(E91,Segments!$B$1:$C$12,2,0)</f>
        <v>High</v>
      </c>
      <c r="Z91" t="s">
        <v>2392</v>
      </c>
    </row>
    <row r="92" spans="1:26" x14ac:dyDescent="0.35">
      <c r="A92" s="1">
        <v>44256</v>
      </c>
      <c r="B92">
        <v>25101804</v>
      </c>
      <c r="C92">
        <v>529896</v>
      </c>
      <c r="D92" t="s">
        <v>44</v>
      </c>
      <c r="E92" t="s">
        <v>38</v>
      </c>
      <c r="F92">
        <v>19317514.189553101</v>
      </c>
      <c r="G92">
        <v>18937716.401692301</v>
      </c>
      <c r="H92">
        <v>17048799.002017401</v>
      </c>
      <c r="I92">
        <v>21966027.164950602</v>
      </c>
      <c r="J92">
        <v>35.738553228732201</v>
      </c>
      <c r="K92">
        <v>32.173858647767503</v>
      </c>
      <c r="L92">
        <v>41.453468539016399</v>
      </c>
      <c r="M92">
        <v>7305738.3599990699</v>
      </c>
      <c r="N92">
        <v>5650721.5209001396</v>
      </c>
      <c r="O92">
        <v>12004290</v>
      </c>
      <c r="P92">
        <v>33049432</v>
      </c>
      <c r="Q92">
        <v>294577107.76830697</v>
      </c>
      <c r="R92">
        <v>129956</v>
      </c>
      <c r="S92">
        <v>98558</v>
      </c>
      <c r="T92">
        <v>79332</v>
      </c>
      <c r="U92">
        <v>52565</v>
      </c>
      <c r="V92">
        <v>30129</v>
      </c>
      <c r="W92" s="6" t="str">
        <f>VLOOKUP(E92,Segments!$B$1:$C$12,2,0)</f>
        <v>Medium</v>
      </c>
      <c r="Z92" t="s">
        <v>2391</v>
      </c>
    </row>
    <row r="93" spans="1:26" x14ac:dyDescent="0.35">
      <c r="A93" s="1">
        <v>44256</v>
      </c>
      <c r="B93">
        <v>25101804</v>
      </c>
      <c r="C93">
        <v>102732</v>
      </c>
      <c r="D93" t="s">
        <v>44</v>
      </c>
      <c r="E93" t="s">
        <v>39</v>
      </c>
      <c r="F93">
        <v>39017864.390001602</v>
      </c>
      <c r="G93">
        <v>41469085.307389498</v>
      </c>
      <c r="H93">
        <v>37591798.517113902</v>
      </c>
      <c r="I93">
        <v>37992709.345501304</v>
      </c>
      <c r="J93">
        <v>403.66278576674699</v>
      </c>
      <c r="K93">
        <v>365.92102282749198</v>
      </c>
      <c r="L93">
        <v>369.82351502454202</v>
      </c>
      <c r="M93">
        <v>11800309.5499999</v>
      </c>
      <c r="N93">
        <v>16720353.2735999</v>
      </c>
      <c r="O93">
        <v>22444292</v>
      </c>
      <c r="P93">
        <v>24984229</v>
      </c>
      <c r="Q93">
        <v>470026470.28268301</v>
      </c>
      <c r="R93">
        <v>3293</v>
      </c>
      <c r="S93">
        <v>2602</v>
      </c>
      <c r="T93">
        <v>2198</v>
      </c>
      <c r="U93">
        <v>1805</v>
      </c>
      <c r="V93">
        <v>1238</v>
      </c>
      <c r="W93" s="6" t="str">
        <f>VLOOKUP(E93,Segments!$B$1:$C$12,2,0)</f>
        <v>VHigh</v>
      </c>
      <c r="Z93" t="s">
        <v>2393</v>
      </c>
    </row>
    <row r="94" spans="1:26" x14ac:dyDescent="0.35">
      <c r="A94" s="1">
        <v>44256</v>
      </c>
      <c r="B94">
        <v>25101804</v>
      </c>
      <c r="C94">
        <v>336615</v>
      </c>
      <c r="D94" t="s">
        <v>44</v>
      </c>
      <c r="E94" t="s">
        <v>40</v>
      </c>
      <c r="F94">
        <v>20743554.083507501</v>
      </c>
      <c r="G94">
        <v>21135892.692973301</v>
      </c>
      <c r="H94">
        <v>19010516.108410899</v>
      </c>
      <c r="I94">
        <v>22084253.4491391</v>
      </c>
      <c r="J94">
        <v>62.789515300783698</v>
      </c>
      <c r="K94">
        <v>56.475546569258597</v>
      </c>
      <c r="L94">
        <v>65.606860802813799</v>
      </c>
      <c r="M94">
        <v>7589123.9999996601</v>
      </c>
      <c r="N94">
        <v>7032451.8709000796</v>
      </c>
      <c r="O94">
        <v>11908838</v>
      </c>
      <c r="P94">
        <v>29686515</v>
      </c>
      <c r="Q94">
        <v>310305164.04812598</v>
      </c>
      <c r="R94">
        <v>51369</v>
      </c>
      <c r="S94">
        <v>38296</v>
      </c>
      <c r="T94">
        <v>30985</v>
      </c>
      <c r="U94">
        <v>22219</v>
      </c>
      <c r="V94">
        <v>13616</v>
      </c>
      <c r="W94" s="6" t="str">
        <f>VLOOKUP(E94,Segments!$B$1:$C$12,2,0)</f>
        <v>Medium</v>
      </c>
      <c r="Z94" t="s">
        <v>2391</v>
      </c>
    </row>
    <row r="95" spans="1:26" x14ac:dyDescent="0.35">
      <c r="A95" s="1">
        <v>44256</v>
      </c>
      <c r="B95">
        <v>25101804</v>
      </c>
      <c r="C95">
        <v>226003</v>
      </c>
      <c r="D95" t="s">
        <v>44</v>
      </c>
      <c r="E95" t="s">
        <v>41</v>
      </c>
      <c r="F95">
        <v>19603184.2942864</v>
      </c>
      <c r="G95">
        <v>20307922.948079299</v>
      </c>
      <c r="H95">
        <v>18287840.6213479</v>
      </c>
      <c r="I95">
        <v>20213789.313432399</v>
      </c>
      <c r="J95">
        <v>89.856873351589897</v>
      </c>
      <c r="K95">
        <v>80.9185746266552</v>
      </c>
      <c r="L95">
        <v>89.440358373262498</v>
      </c>
      <c r="M95">
        <v>6947857.6699997904</v>
      </c>
      <c r="N95">
        <v>7068234.1309000598</v>
      </c>
      <c r="O95">
        <v>11037522</v>
      </c>
      <c r="P95">
        <v>24812984</v>
      </c>
      <c r="Q95">
        <v>288639482.30984598</v>
      </c>
      <c r="R95">
        <v>25069</v>
      </c>
      <c r="S95">
        <v>18682</v>
      </c>
      <c r="T95">
        <v>15139</v>
      </c>
      <c r="U95">
        <v>11287</v>
      </c>
      <c r="V95">
        <v>7184</v>
      </c>
      <c r="W95" s="6" t="str">
        <f>VLOOKUP(E95,Segments!$B$1:$C$12,2,0)</f>
        <v>Medium</v>
      </c>
      <c r="Z95" t="s">
        <v>2391</v>
      </c>
    </row>
    <row r="96" spans="1:26" x14ac:dyDescent="0.35">
      <c r="A96" s="1">
        <v>44256</v>
      </c>
      <c r="B96">
        <v>25101804</v>
      </c>
      <c r="C96">
        <v>65366</v>
      </c>
      <c r="D96" t="s">
        <v>44</v>
      </c>
      <c r="E96" t="s">
        <v>42</v>
      </c>
      <c r="F96">
        <v>52843113.612083502</v>
      </c>
      <c r="G96">
        <v>57004053.8908609</v>
      </c>
      <c r="H96">
        <v>51333272.970946804</v>
      </c>
      <c r="I96">
        <v>50192013.9744431</v>
      </c>
      <c r="J96">
        <v>872.07499144602502</v>
      </c>
      <c r="K96">
        <v>785.32070144948204</v>
      </c>
      <c r="L96">
        <v>767.86118126308895</v>
      </c>
      <c r="M96">
        <v>16912323.329999998</v>
      </c>
      <c r="N96">
        <v>26298487.7517999</v>
      </c>
      <c r="O96">
        <v>25641629</v>
      </c>
      <c r="P96">
        <v>22321201</v>
      </c>
      <c r="Q96">
        <v>589925238.70904398</v>
      </c>
      <c r="R96">
        <v>1261</v>
      </c>
      <c r="S96">
        <v>1013</v>
      </c>
      <c r="T96">
        <v>860</v>
      </c>
      <c r="U96">
        <v>735</v>
      </c>
      <c r="V96">
        <v>515</v>
      </c>
      <c r="W96" s="6" t="str">
        <f>VLOOKUP(E96,Segments!$B$1:$C$12,2,0)</f>
        <v>VHigh</v>
      </c>
      <c r="Z96" t="s">
        <v>2393</v>
      </c>
    </row>
    <row r="97" spans="1:26" x14ac:dyDescent="0.35">
      <c r="A97" s="1">
        <v>44256</v>
      </c>
      <c r="B97">
        <v>25101804</v>
      </c>
      <c r="C97">
        <v>17352</v>
      </c>
      <c r="D97" t="s">
        <v>44</v>
      </c>
      <c r="E97" t="s">
        <v>43</v>
      </c>
      <c r="F97">
        <v>-75676.638418554794</v>
      </c>
      <c r="G97">
        <v>-90736.106242038906</v>
      </c>
      <c r="H97">
        <v>-74660.418943318393</v>
      </c>
      <c r="I97">
        <v>-61633.390070306799</v>
      </c>
      <c r="J97">
        <v>-5.2291439742991503</v>
      </c>
      <c r="K97">
        <v>-4.3026981871437497</v>
      </c>
      <c r="L97">
        <v>-3.5519473300084599</v>
      </c>
      <c r="M97">
        <v>16116.9199999999</v>
      </c>
      <c r="N97">
        <v>6550.2599999999902</v>
      </c>
      <c r="O97">
        <v>25230</v>
      </c>
      <c r="P97">
        <v>87075</v>
      </c>
      <c r="Q97">
        <v>980457653.00969195</v>
      </c>
      <c r="R97">
        <v>6871</v>
      </c>
      <c r="S97">
        <v>6133</v>
      </c>
      <c r="T97">
        <v>5161</v>
      </c>
      <c r="U97">
        <v>3640</v>
      </c>
      <c r="V97">
        <v>2731</v>
      </c>
      <c r="W97" s="6" t="str">
        <f>VLOOKUP(E97,Segments!$B$1:$C$12,2,0)</f>
        <v>Low</v>
      </c>
      <c r="Z97" t="s">
        <v>2390</v>
      </c>
    </row>
    <row r="98" spans="1:26" x14ac:dyDescent="0.35">
      <c r="A98" s="1">
        <v>44256</v>
      </c>
      <c r="B98">
        <v>25101804</v>
      </c>
      <c r="C98">
        <v>1507548</v>
      </c>
      <c r="D98" t="s">
        <v>45</v>
      </c>
      <c r="E98" t="s">
        <v>32</v>
      </c>
      <c r="F98">
        <v>4121382.7797126002</v>
      </c>
      <c r="G98">
        <v>2616302.45345846</v>
      </c>
      <c r="H98">
        <v>2844511.0906713801</v>
      </c>
      <c r="I98">
        <v>6903334.7950129705</v>
      </c>
      <c r="J98">
        <v>1.73546875685448</v>
      </c>
      <c r="K98">
        <v>1.8868461174512301</v>
      </c>
      <c r="L98">
        <v>4.5791807590955402</v>
      </c>
      <c r="M98">
        <v>1098105.6399999801</v>
      </c>
      <c r="N98">
        <v>583920.69999999099</v>
      </c>
      <c r="O98">
        <v>1838029</v>
      </c>
      <c r="P98">
        <v>10739840</v>
      </c>
      <c r="Q98">
        <v>875101652.24914598</v>
      </c>
      <c r="R98">
        <v>1243758</v>
      </c>
      <c r="S98">
        <v>1142595</v>
      </c>
      <c r="T98">
        <v>958021</v>
      </c>
      <c r="U98">
        <v>467994</v>
      </c>
      <c r="V98">
        <v>225223</v>
      </c>
      <c r="W98" s="6" t="str">
        <f>VLOOKUP(E98,Segments!$B$1:$C$12,2,0)</f>
        <v>Low</v>
      </c>
      <c r="Z98" t="s">
        <v>2390</v>
      </c>
    </row>
    <row r="99" spans="1:26" x14ac:dyDescent="0.35">
      <c r="A99" s="1">
        <v>44256</v>
      </c>
      <c r="B99">
        <v>25101804</v>
      </c>
      <c r="C99">
        <v>614621</v>
      </c>
      <c r="D99" t="s">
        <v>45</v>
      </c>
      <c r="E99" t="s">
        <v>33</v>
      </c>
      <c r="F99">
        <v>9977747.5749510191</v>
      </c>
      <c r="G99">
        <v>7530256.3866906902</v>
      </c>
      <c r="H99">
        <v>7663233.5101099703</v>
      </c>
      <c r="I99">
        <v>14739752.828056</v>
      </c>
      <c r="J99">
        <v>12.251869667145501</v>
      </c>
      <c r="K99">
        <v>12.468225963821499</v>
      </c>
      <c r="L99">
        <v>23.981856832187599</v>
      </c>
      <c r="M99">
        <v>3166993.8599997298</v>
      </c>
      <c r="N99">
        <v>1996566.5400000501</v>
      </c>
      <c r="O99">
        <v>5586779</v>
      </c>
      <c r="P99">
        <v>11067928</v>
      </c>
      <c r="Q99">
        <v>165169691.74239299</v>
      </c>
      <c r="R99">
        <v>378802</v>
      </c>
      <c r="S99">
        <v>333195</v>
      </c>
      <c r="T99">
        <v>293995</v>
      </c>
      <c r="U99">
        <v>163592</v>
      </c>
      <c r="V99">
        <v>82147</v>
      </c>
      <c r="W99" s="6" t="str">
        <f>VLOOKUP(E99,Segments!$B$1:$C$12,2,0)</f>
        <v>Low</v>
      </c>
      <c r="Z99" t="s">
        <v>2390</v>
      </c>
    </row>
    <row r="100" spans="1:26" x14ac:dyDescent="0.35">
      <c r="A100" s="1">
        <v>44256</v>
      </c>
      <c r="B100">
        <v>25101804</v>
      </c>
      <c r="C100">
        <v>105059</v>
      </c>
      <c r="D100" t="s">
        <v>45</v>
      </c>
      <c r="E100" t="s">
        <v>34</v>
      </c>
      <c r="F100">
        <v>11732114.7221989</v>
      </c>
      <c r="G100">
        <v>11674179.720223401</v>
      </c>
      <c r="H100">
        <v>11463716.007262699</v>
      </c>
      <c r="I100">
        <v>12058448.439110899</v>
      </c>
      <c r="J100">
        <v>111.12022501854599</v>
      </c>
      <c r="K100">
        <v>109.116934363193</v>
      </c>
      <c r="L100">
        <v>114.777871854015</v>
      </c>
      <c r="M100">
        <v>4538023.2199999504</v>
      </c>
      <c r="N100">
        <v>3835915.53180002</v>
      </c>
      <c r="O100">
        <v>7748954</v>
      </c>
      <c r="P100">
        <v>10169240</v>
      </c>
      <c r="Q100">
        <v>196704567.588294</v>
      </c>
      <c r="R100">
        <v>20728</v>
      </c>
      <c r="S100">
        <v>17313</v>
      </c>
      <c r="T100">
        <v>15280</v>
      </c>
      <c r="U100">
        <v>11974</v>
      </c>
      <c r="V100">
        <v>7689</v>
      </c>
      <c r="W100" s="6" t="str">
        <f>VLOOKUP(E100,Segments!$B$1:$C$12,2,0)</f>
        <v>Medium</v>
      </c>
      <c r="Z100" t="s">
        <v>2391</v>
      </c>
    </row>
    <row r="101" spans="1:26" x14ac:dyDescent="0.35">
      <c r="A101" s="1">
        <v>44256</v>
      </c>
      <c r="B101">
        <v>25101804</v>
      </c>
      <c r="C101">
        <v>71831</v>
      </c>
      <c r="D101" t="s">
        <v>45</v>
      </c>
      <c r="E101" t="s">
        <v>35</v>
      </c>
      <c r="F101">
        <v>9819551.4983255696</v>
      </c>
      <c r="G101">
        <v>9874549.3905121796</v>
      </c>
      <c r="H101">
        <v>9644909.0641689505</v>
      </c>
      <c r="I101">
        <v>9939196.0402956791</v>
      </c>
      <c r="J101">
        <v>137.46919005042599</v>
      </c>
      <c r="K101">
        <v>134.272237114462</v>
      </c>
      <c r="L101">
        <v>138.369172645455</v>
      </c>
      <c r="M101">
        <v>3758860.4899999802</v>
      </c>
      <c r="N101">
        <v>3324744.9208999998</v>
      </c>
      <c r="O101">
        <v>6546095</v>
      </c>
      <c r="P101">
        <v>7942157</v>
      </c>
      <c r="Q101">
        <v>163943943.69787699</v>
      </c>
      <c r="R101">
        <v>12516</v>
      </c>
      <c r="S101">
        <v>10535</v>
      </c>
      <c r="T101">
        <v>9316</v>
      </c>
      <c r="U101">
        <v>7426</v>
      </c>
      <c r="V101">
        <v>4805</v>
      </c>
      <c r="W101" s="6" t="str">
        <f>VLOOKUP(E101,Segments!$B$1:$C$12,2,0)</f>
        <v>High</v>
      </c>
      <c r="Z101" t="s">
        <v>2392</v>
      </c>
    </row>
    <row r="102" spans="1:26" x14ac:dyDescent="0.35">
      <c r="A102" s="1">
        <v>44256</v>
      </c>
      <c r="B102">
        <v>25101804</v>
      </c>
      <c r="C102">
        <v>86460</v>
      </c>
      <c r="D102" t="s">
        <v>45</v>
      </c>
      <c r="E102" t="s">
        <v>36</v>
      </c>
      <c r="F102">
        <v>14899293.001501599</v>
      </c>
      <c r="G102">
        <v>15154812.385050301</v>
      </c>
      <c r="H102">
        <v>14727250.2125891</v>
      </c>
      <c r="I102">
        <v>14815816.406865399</v>
      </c>
      <c r="J102">
        <v>175.28119806905201</v>
      </c>
      <c r="K102">
        <v>170.33599598183099</v>
      </c>
      <c r="L102">
        <v>171.360356313502</v>
      </c>
      <c r="M102">
        <v>5685558.30999994</v>
      </c>
      <c r="N102">
        <v>5222686.6718000202</v>
      </c>
      <c r="O102">
        <v>9998789</v>
      </c>
      <c r="P102">
        <v>11261422</v>
      </c>
      <c r="Q102">
        <v>244238167.55989701</v>
      </c>
      <c r="R102">
        <v>13131</v>
      </c>
      <c r="S102">
        <v>11128</v>
      </c>
      <c r="T102">
        <v>9858</v>
      </c>
      <c r="U102">
        <v>7981</v>
      </c>
      <c r="V102">
        <v>5176</v>
      </c>
      <c r="W102" s="6" t="str">
        <f>VLOOKUP(E102,Segments!$B$1:$C$12,2,0)</f>
        <v>High</v>
      </c>
      <c r="Z102" t="s">
        <v>2392</v>
      </c>
    </row>
    <row r="103" spans="1:26" x14ac:dyDescent="0.35">
      <c r="A103" s="1">
        <v>44256</v>
      </c>
      <c r="B103">
        <v>25101804</v>
      </c>
      <c r="C103">
        <v>77229</v>
      </c>
      <c r="D103" t="s">
        <v>45</v>
      </c>
      <c r="E103" t="s">
        <v>37</v>
      </c>
      <c r="F103">
        <v>18679960.556717198</v>
      </c>
      <c r="G103">
        <v>19269848.913803399</v>
      </c>
      <c r="H103">
        <v>18582135.130031899</v>
      </c>
      <c r="I103">
        <v>18187897.626316499</v>
      </c>
      <c r="J103">
        <v>249.515711893245</v>
      </c>
      <c r="K103">
        <v>240.61084735050099</v>
      </c>
      <c r="L103">
        <v>235.50606153538899</v>
      </c>
      <c r="M103">
        <v>7025088.4399999399</v>
      </c>
      <c r="N103">
        <v>6799969.6009000205</v>
      </c>
      <c r="O103">
        <v>12460812</v>
      </c>
      <c r="P103">
        <v>12339268</v>
      </c>
      <c r="Q103">
        <v>305263839.43024403</v>
      </c>
      <c r="R103">
        <v>9658</v>
      </c>
      <c r="S103">
        <v>8255</v>
      </c>
      <c r="T103">
        <v>7322</v>
      </c>
      <c r="U103">
        <v>6063</v>
      </c>
      <c r="V103">
        <v>4043</v>
      </c>
      <c r="W103" s="6" t="str">
        <f>VLOOKUP(E103,Segments!$B$1:$C$12,2,0)</f>
        <v>High</v>
      </c>
      <c r="Z103" t="s">
        <v>2392</v>
      </c>
    </row>
    <row r="104" spans="1:26" x14ac:dyDescent="0.35">
      <c r="A104" s="1">
        <v>44256</v>
      </c>
      <c r="B104">
        <v>25101804</v>
      </c>
      <c r="C104">
        <v>488593</v>
      </c>
      <c r="D104" t="s">
        <v>45</v>
      </c>
      <c r="E104" t="s">
        <v>38</v>
      </c>
      <c r="F104">
        <v>17634630.519515298</v>
      </c>
      <c r="G104">
        <v>15527588.532620501</v>
      </c>
      <c r="H104">
        <v>15543680.8185341</v>
      </c>
      <c r="I104">
        <v>21832622.2073934</v>
      </c>
      <c r="J104">
        <v>31.780210794302199</v>
      </c>
      <c r="K104">
        <v>31.8131467674202</v>
      </c>
      <c r="L104">
        <v>44.684680720750102</v>
      </c>
      <c r="M104">
        <v>6439769.6599992001</v>
      </c>
      <c r="N104">
        <v>4581435.4200001303</v>
      </c>
      <c r="O104">
        <v>10512131</v>
      </c>
      <c r="P104">
        <v>18743322</v>
      </c>
      <c r="Q104">
        <v>295512278.18505001</v>
      </c>
      <c r="R104">
        <v>204076</v>
      </c>
      <c r="S104">
        <v>172594</v>
      </c>
      <c r="T104">
        <v>151069</v>
      </c>
      <c r="U104">
        <v>101091</v>
      </c>
      <c r="V104">
        <v>55337</v>
      </c>
      <c r="W104" s="6" t="str">
        <f>VLOOKUP(E104,Segments!$B$1:$C$12,2,0)</f>
        <v>Medium</v>
      </c>
      <c r="Z104" t="s">
        <v>2391</v>
      </c>
    </row>
    <row r="105" spans="1:26" x14ac:dyDescent="0.35">
      <c r="A105" s="1">
        <v>44256</v>
      </c>
      <c r="B105">
        <v>25101804</v>
      </c>
      <c r="C105">
        <v>47741</v>
      </c>
      <c r="D105" t="s">
        <v>45</v>
      </c>
      <c r="E105" t="s">
        <v>39</v>
      </c>
      <c r="F105">
        <v>18015741.003067501</v>
      </c>
      <c r="G105">
        <v>18963725.999946501</v>
      </c>
      <c r="H105">
        <v>17974143.1487986</v>
      </c>
      <c r="I105">
        <v>17109353.860457301</v>
      </c>
      <c r="J105">
        <v>397.22096311234702</v>
      </c>
      <c r="K105">
        <v>376.49280804337201</v>
      </c>
      <c r="L105">
        <v>358.37862341503899</v>
      </c>
      <c r="M105">
        <v>6773846.25999997</v>
      </c>
      <c r="N105">
        <v>7213027.0226999996</v>
      </c>
      <c r="O105">
        <v>11388073</v>
      </c>
      <c r="P105">
        <v>10093420</v>
      </c>
      <c r="Q105">
        <v>275609650.32801503</v>
      </c>
      <c r="R105">
        <v>4608</v>
      </c>
      <c r="S105">
        <v>3960</v>
      </c>
      <c r="T105">
        <v>3560</v>
      </c>
      <c r="U105">
        <v>3019</v>
      </c>
      <c r="V105">
        <v>2014</v>
      </c>
      <c r="W105" s="6" t="str">
        <f>VLOOKUP(E105,Segments!$B$1:$C$12,2,0)</f>
        <v>VHigh</v>
      </c>
      <c r="Z105" t="s">
        <v>2393</v>
      </c>
    </row>
    <row r="106" spans="1:26" x14ac:dyDescent="0.35">
      <c r="A106" s="1">
        <v>44256</v>
      </c>
      <c r="B106">
        <v>25101804</v>
      </c>
      <c r="C106">
        <v>267233</v>
      </c>
      <c r="D106" t="s">
        <v>45</v>
      </c>
      <c r="E106" t="s">
        <v>40</v>
      </c>
      <c r="F106">
        <v>16416833.051118299</v>
      </c>
      <c r="G106">
        <v>15472272.5863834</v>
      </c>
      <c r="H106">
        <v>15314282.792427801</v>
      </c>
      <c r="I106">
        <v>18463943.774544299</v>
      </c>
      <c r="J106">
        <v>57.898061191482498</v>
      </c>
      <c r="K106">
        <v>57.306855038217002</v>
      </c>
      <c r="L106">
        <v>69.093052783691903</v>
      </c>
      <c r="M106">
        <v>6231939.8799996497</v>
      </c>
      <c r="N106">
        <v>4869915.5900000604</v>
      </c>
      <c r="O106">
        <v>10102278</v>
      </c>
      <c r="P106">
        <v>16063757</v>
      </c>
      <c r="Q106">
        <v>276550241.12220502</v>
      </c>
      <c r="R106">
        <v>78917</v>
      </c>
      <c r="S106">
        <v>66087</v>
      </c>
      <c r="T106">
        <v>58017</v>
      </c>
      <c r="U106">
        <v>42354</v>
      </c>
      <c r="V106">
        <v>25052</v>
      </c>
      <c r="W106" s="6" t="str">
        <f>VLOOKUP(E106,Segments!$B$1:$C$12,2,0)</f>
        <v>Medium</v>
      </c>
      <c r="Z106" t="s">
        <v>2391</v>
      </c>
    </row>
    <row r="107" spans="1:26" x14ac:dyDescent="0.35">
      <c r="A107" s="1">
        <v>44256</v>
      </c>
      <c r="B107">
        <v>25101804</v>
      </c>
      <c r="C107">
        <v>162831</v>
      </c>
      <c r="D107" t="s">
        <v>45</v>
      </c>
      <c r="E107" t="s">
        <v>41</v>
      </c>
      <c r="F107">
        <v>14089218.5855806</v>
      </c>
      <c r="G107">
        <v>13716899.853912899</v>
      </c>
      <c r="H107">
        <v>13577944.7565448</v>
      </c>
      <c r="I107">
        <v>14972811.1462842</v>
      </c>
      <c r="J107">
        <v>84.240100803366502</v>
      </c>
      <c r="K107">
        <v>83.386730761002696</v>
      </c>
      <c r="L107">
        <v>91.953074944477905</v>
      </c>
      <c r="M107">
        <v>5410684.5199998599</v>
      </c>
      <c r="N107">
        <v>4472262.3900000304</v>
      </c>
      <c r="O107">
        <v>8940167</v>
      </c>
      <c r="P107">
        <v>12938156</v>
      </c>
      <c r="Q107">
        <v>236824735.15547401</v>
      </c>
      <c r="R107">
        <v>38220</v>
      </c>
      <c r="S107">
        <v>32028</v>
      </c>
      <c r="T107">
        <v>28063</v>
      </c>
      <c r="U107">
        <v>21470</v>
      </c>
      <c r="V107">
        <v>13344</v>
      </c>
      <c r="W107" s="6" t="str">
        <f>VLOOKUP(E107,Segments!$B$1:$C$12,2,0)</f>
        <v>Medium</v>
      </c>
      <c r="Z107" t="s">
        <v>2391</v>
      </c>
    </row>
    <row r="108" spans="1:26" x14ac:dyDescent="0.35">
      <c r="A108" s="1">
        <v>44256</v>
      </c>
      <c r="B108">
        <v>25101804</v>
      </c>
      <c r="C108">
        <v>25136</v>
      </c>
      <c r="D108" t="s">
        <v>45</v>
      </c>
      <c r="E108" t="s">
        <v>42</v>
      </c>
      <c r="F108">
        <v>19758634.281327099</v>
      </c>
      <c r="G108">
        <v>21009992.249722</v>
      </c>
      <c r="H108">
        <v>19779503.593159601</v>
      </c>
      <c r="I108">
        <v>18486407.001099799</v>
      </c>
      <c r="J108">
        <v>835.85265156437197</v>
      </c>
      <c r="K108">
        <v>786.89941093092204</v>
      </c>
      <c r="L108">
        <v>735.45540265355601</v>
      </c>
      <c r="M108">
        <v>7502162.0399999898</v>
      </c>
      <c r="N108">
        <v>9372468.7399999909</v>
      </c>
      <c r="O108">
        <v>10475857</v>
      </c>
      <c r="P108">
        <v>8585258</v>
      </c>
      <c r="Q108">
        <v>280132143.77862197</v>
      </c>
      <c r="R108">
        <v>1563</v>
      </c>
      <c r="S108">
        <v>1386</v>
      </c>
      <c r="T108">
        <v>1233</v>
      </c>
      <c r="U108">
        <v>1055</v>
      </c>
      <c r="V108">
        <v>719</v>
      </c>
      <c r="W108" s="6" t="str">
        <f>VLOOKUP(E108,Segments!$B$1:$C$12,2,0)</f>
        <v>VHigh</v>
      </c>
      <c r="Z108" t="s">
        <v>2393</v>
      </c>
    </row>
    <row r="109" spans="1:26" x14ac:dyDescent="0.35">
      <c r="A109" s="1">
        <v>44256</v>
      </c>
      <c r="B109">
        <v>25101804</v>
      </c>
      <c r="C109">
        <v>27506</v>
      </c>
      <c r="D109" t="s">
        <v>45</v>
      </c>
      <c r="E109" t="s">
        <v>43</v>
      </c>
      <c r="F109">
        <v>-130777.39978224901</v>
      </c>
      <c r="G109">
        <v>-151665.669757533</v>
      </c>
      <c r="H109">
        <v>-144185.88984045701</v>
      </c>
      <c r="I109">
        <v>-96480.639748760499</v>
      </c>
      <c r="J109">
        <v>-5.5139122285149798</v>
      </c>
      <c r="K109">
        <v>-5.2419795622939596</v>
      </c>
      <c r="L109">
        <v>-3.5076216006965901</v>
      </c>
      <c r="M109">
        <v>25936.159999999902</v>
      </c>
      <c r="N109">
        <v>5773.8099999999904</v>
      </c>
      <c r="O109">
        <v>187121</v>
      </c>
      <c r="P109">
        <v>853269</v>
      </c>
      <c r="Q109">
        <v>1367304351.8338799</v>
      </c>
      <c r="R109">
        <v>14066</v>
      </c>
      <c r="S109">
        <v>12834</v>
      </c>
      <c r="T109">
        <v>10387</v>
      </c>
      <c r="U109">
        <v>6398</v>
      </c>
      <c r="V109">
        <v>4287</v>
      </c>
      <c r="W109" s="6" t="str">
        <f>VLOOKUP(E109,Segments!$B$1:$C$12,2,0)</f>
        <v>Low</v>
      </c>
      <c r="Z109" t="s">
        <v>2390</v>
      </c>
    </row>
    <row r="110" spans="1:26" x14ac:dyDescent="0.35">
      <c r="A110" s="1">
        <v>44256</v>
      </c>
      <c r="B110">
        <v>25101804</v>
      </c>
      <c r="C110">
        <v>806206</v>
      </c>
      <c r="D110" t="s">
        <v>46</v>
      </c>
      <c r="E110" t="s">
        <v>32</v>
      </c>
      <c r="F110">
        <v>2355622.0896818899</v>
      </c>
      <c r="G110">
        <v>1621328.20836789</v>
      </c>
      <c r="H110">
        <v>1765201.8617275199</v>
      </c>
      <c r="I110">
        <v>3680336.19895051</v>
      </c>
      <c r="J110">
        <v>2.0110594666473398</v>
      </c>
      <c r="K110">
        <v>2.18951714788468</v>
      </c>
      <c r="L110">
        <v>4.5650072052930799</v>
      </c>
      <c r="M110">
        <v>648950.29000001599</v>
      </c>
      <c r="N110">
        <v>307774.03999999899</v>
      </c>
      <c r="O110">
        <v>1140885</v>
      </c>
      <c r="P110">
        <v>6357197</v>
      </c>
      <c r="Q110">
        <v>423229519.656555</v>
      </c>
      <c r="R110">
        <v>625407</v>
      </c>
      <c r="S110">
        <v>558741</v>
      </c>
      <c r="T110">
        <v>478248</v>
      </c>
      <c r="U110">
        <v>258758</v>
      </c>
      <c r="V110">
        <v>130268</v>
      </c>
      <c r="W110" s="6" t="str">
        <f>VLOOKUP(E110,Segments!$B$1:$C$12,2,0)</f>
        <v>Low</v>
      </c>
      <c r="Z110" t="s">
        <v>2390</v>
      </c>
    </row>
    <row r="111" spans="1:26" x14ac:dyDescent="0.35">
      <c r="A111" s="1">
        <v>44256</v>
      </c>
      <c r="B111">
        <v>25101804</v>
      </c>
      <c r="C111">
        <v>363628</v>
      </c>
      <c r="D111" t="s">
        <v>46</v>
      </c>
      <c r="E111" t="s">
        <v>33</v>
      </c>
      <c r="F111">
        <v>6026156.4428485604</v>
      </c>
      <c r="G111">
        <v>4848002.7357519204</v>
      </c>
      <c r="H111">
        <v>4854173.1380892396</v>
      </c>
      <c r="I111">
        <v>8376293.45470565</v>
      </c>
      <c r="J111">
        <v>13.3323141665436</v>
      </c>
      <c r="K111">
        <v>13.3492831632581</v>
      </c>
      <c r="L111">
        <v>23.0353368131872</v>
      </c>
      <c r="M111">
        <v>1908417.2599999199</v>
      </c>
      <c r="N111">
        <v>1265915.3000000101</v>
      </c>
      <c r="O111">
        <v>3755960</v>
      </c>
      <c r="P111">
        <v>8999658</v>
      </c>
      <c r="Q111">
        <v>104445800.469386</v>
      </c>
      <c r="R111">
        <v>193433</v>
      </c>
      <c r="S111">
        <v>162022</v>
      </c>
      <c r="T111">
        <v>138053</v>
      </c>
      <c r="U111">
        <v>84819</v>
      </c>
      <c r="V111">
        <v>43934</v>
      </c>
      <c r="W111" s="6" t="str">
        <f>VLOOKUP(E111,Segments!$B$1:$C$12,2,0)</f>
        <v>Low</v>
      </c>
      <c r="Z111" t="s">
        <v>2390</v>
      </c>
    </row>
    <row r="112" spans="1:26" x14ac:dyDescent="0.35">
      <c r="A112" s="1">
        <v>44256</v>
      </c>
      <c r="B112">
        <v>25101804</v>
      </c>
      <c r="C112">
        <v>71432</v>
      </c>
      <c r="D112" t="s">
        <v>46</v>
      </c>
      <c r="E112" t="s">
        <v>34</v>
      </c>
      <c r="F112">
        <v>7972369.4728136603</v>
      </c>
      <c r="G112">
        <v>8067766.3055058904</v>
      </c>
      <c r="H112">
        <v>7589955.0051950105</v>
      </c>
      <c r="I112">
        <v>8259387.1077402001</v>
      </c>
      <c r="J112">
        <v>112.943306998346</v>
      </c>
      <c r="K112">
        <v>106.254269867776</v>
      </c>
      <c r="L112">
        <v>115.625869466628</v>
      </c>
      <c r="M112">
        <v>2772630.4199999799</v>
      </c>
      <c r="N112">
        <v>2735727.9600000102</v>
      </c>
      <c r="O112">
        <v>5579679</v>
      </c>
      <c r="P112">
        <v>7800364</v>
      </c>
      <c r="Q112">
        <v>137316881.32407299</v>
      </c>
      <c r="R112">
        <v>10717</v>
      </c>
      <c r="S112">
        <v>8633</v>
      </c>
      <c r="T112">
        <v>7363</v>
      </c>
      <c r="U112">
        <v>5791</v>
      </c>
      <c r="V112">
        <v>3803</v>
      </c>
      <c r="W112" s="6" t="str">
        <f>VLOOKUP(E112,Segments!$B$1:$C$12,2,0)</f>
        <v>Medium</v>
      </c>
      <c r="Z112" t="s">
        <v>2391</v>
      </c>
    </row>
    <row r="113" spans="1:26" x14ac:dyDescent="0.35">
      <c r="A113" s="1">
        <v>44256</v>
      </c>
      <c r="B113">
        <v>25101804</v>
      </c>
      <c r="C113">
        <v>48739</v>
      </c>
      <c r="D113" t="s">
        <v>46</v>
      </c>
      <c r="E113" t="s">
        <v>35</v>
      </c>
      <c r="F113">
        <v>6663923.6765936697</v>
      </c>
      <c r="G113">
        <v>6804173.7200047597</v>
      </c>
      <c r="H113">
        <v>6370865.5957100103</v>
      </c>
      <c r="I113">
        <v>6816731.71406624</v>
      </c>
      <c r="J113">
        <v>139.60429471275</v>
      </c>
      <c r="K113">
        <v>130.71391689837699</v>
      </c>
      <c r="L113">
        <v>139.86195272915401</v>
      </c>
      <c r="M113">
        <v>2279785.3299999898</v>
      </c>
      <c r="N113">
        <v>2342609.9509000001</v>
      </c>
      <c r="O113">
        <v>4849212</v>
      </c>
      <c r="P113">
        <v>5965497</v>
      </c>
      <c r="Q113">
        <v>114201954.945888</v>
      </c>
      <c r="R113">
        <v>6332</v>
      </c>
      <c r="S113">
        <v>5119</v>
      </c>
      <c r="T113">
        <v>4406</v>
      </c>
      <c r="U113">
        <v>3588</v>
      </c>
      <c r="V113">
        <v>2383</v>
      </c>
      <c r="W113" s="6" t="str">
        <f>VLOOKUP(E113,Segments!$B$1:$C$12,2,0)</f>
        <v>High</v>
      </c>
      <c r="Z113" t="s">
        <v>2392</v>
      </c>
    </row>
    <row r="114" spans="1:26" x14ac:dyDescent="0.35">
      <c r="A114" s="1">
        <v>44256</v>
      </c>
      <c r="B114">
        <v>25101804</v>
      </c>
      <c r="C114">
        <v>59495</v>
      </c>
      <c r="D114" t="s">
        <v>46</v>
      </c>
      <c r="E114" t="s">
        <v>36</v>
      </c>
      <c r="F114">
        <v>10259304.699689301</v>
      </c>
      <c r="G114">
        <v>10543483.416632</v>
      </c>
      <c r="H114">
        <v>9883601.9564869292</v>
      </c>
      <c r="I114">
        <v>10350828.725949001</v>
      </c>
      <c r="J114">
        <v>177.216294085756</v>
      </c>
      <c r="K114">
        <v>166.124917328967</v>
      </c>
      <c r="L114">
        <v>173.97812800989999</v>
      </c>
      <c r="M114">
        <v>3468973.8599999798</v>
      </c>
      <c r="N114">
        <v>3715065.38090001</v>
      </c>
      <c r="O114">
        <v>7452037</v>
      </c>
      <c r="P114">
        <v>8406146</v>
      </c>
      <c r="Q114">
        <v>173261165.935316</v>
      </c>
      <c r="R114">
        <v>6744</v>
      </c>
      <c r="S114">
        <v>5499</v>
      </c>
      <c r="T114">
        <v>4736</v>
      </c>
      <c r="U114">
        <v>3841</v>
      </c>
      <c r="V114">
        <v>2588</v>
      </c>
      <c r="W114" s="6" t="str">
        <f>VLOOKUP(E114,Segments!$B$1:$C$12,2,0)</f>
        <v>High</v>
      </c>
      <c r="Z114" t="s">
        <v>2392</v>
      </c>
    </row>
    <row r="115" spans="1:26" x14ac:dyDescent="0.35">
      <c r="A115" s="1">
        <v>44256</v>
      </c>
      <c r="B115">
        <v>25101804</v>
      </c>
      <c r="C115">
        <v>54199</v>
      </c>
      <c r="D115" t="s">
        <v>46</v>
      </c>
      <c r="E115" t="s">
        <v>37</v>
      </c>
      <c r="F115">
        <v>13116592.925536999</v>
      </c>
      <c r="G115">
        <v>13650808.289798601</v>
      </c>
      <c r="H115">
        <v>12733403.559448</v>
      </c>
      <c r="I115">
        <v>12965566.9273644</v>
      </c>
      <c r="J115">
        <v>251.864578494044</v>
      </c>
      <c r="K115">
        <v>234.937979657337</v>
      </c>
      <c r="L115">
        <v>239.221515661994</v>
      </c>
      <c r="M115">
        <v>4360077.2599999802</v>
      </c>
      <c r="N115">
        <v>4951043.2545000101</v>
      </c>
      <c r="O115">
        <v>9635280</v>
      </c>
      <c r="P115">
        <v>9328970</v>
      </c>
      <c r="Q115">
        <v>214541945.91080999</v>
      </c>
      <c r="R115">
        <v>4742</v>
      </c>
      <c r="S115">
        <v>3928</v>
      </c>
      <c r="T115">
        <v>3390</v>
      </c>
      <c r="U115">
        <v>2833</v>
      </c>
      <c r="V115">
        <v>1930</v>
      </c>
      <c r="W115" s="6" t="str">
        <f>VLOOKUP(E115,Segments!$B$1:$C$12,2,0)</f>
        <v>High</v>
      </c>
      <c r="Z115" t="s">
        <v>2392</v>
      </c>
    </row>
    <row r="116" spans="1:26" x14ac:dyDescent="0.35">
      <c r="A116" s="1">
        <v>44256</v>
      </c>
      <c r="B116">
        <v>25101804</v>
      </c>
      <c r="C116">
        <v>320583</v>
      </c>
      <c r="D116" t="s">
        <v>46</v>
      </c>
      <c r="E116" t="s">
        <v>38</v>
      </c>
      <c r="F116">
        <v>11598834.219929799</v>
      </c>
      <c r="G116">
        <v>10545930.275705799</v>
      </c>
      <c r="H116">
        <v>10157356.711237799</v>
      </c>
      <c r="I116">
        <v>14093215.6728465</v>
      </c>
      <c r="J116">
        <v>32.896099530249202</v>
      </c>
      <c r="K116">
        <v>31.684015407048399</v>
      </c>
      <c r="L116">
        <v>43.961207153362999</v>
      </c>
      <c r="M116">
        <v>4004563.6199998301</v>
      </c>
      <c r="N116">
        <v>3207469.2600000701</v>
      </c>
      <c r="O116">
        <v>7247574</v>
      </c>
      <c r="P116">
        <v>14612561</v>
      </c>
      <c r="Q116">
        <v>196314842.22760201</v>
      </c>
      <c r="R116">
        <v>112737</v>
      </c>
      <c r="S116">
        <v>91246</v>
      </c>
      <c r="T116">
        <v>77520</v>
      </c>
      <c r="U116">
        <v>53374</v>
      </c>
      <c r="V116">
        <v>30218</v>
      </c>
      <c r="W116" s="6" t="str">
        <f>VLOOKUP(E116,Segments!$B$1:$C$12,2,0)</f>
        <v>Medium</v>
      </c>
      <c r="Z116" t="s">
        <v>2391</v>
      </c>
    </row>
    <row r="117" spans="1:26" x14ac:dyDescent="0.35">
      <c r="A117" s="1">
        <v>44256</v>
      </c>
      <c r="B117">
        <v>25101804</v>
      </c>
      <c r="C117">
        <v>34275</v>
      </c>
      <c r="D117" t="s">
        <v>46</v>
      </c>
      <c r="E117" t="s">
        <v>39</v>
      </c>
      <c r="F117">
        <v>12958498.7680234</v>
      </c>
      <c r="G117">
        <v>13664916.8932113</v>
      </c>
      <c r="H117">
        <v>12650872.7007991</v>
      </c>
      <c r="I117">
        <v>12559706.710059701</v>
      </c>
      <c r="J117">
        <v>398.68466500981299</v>
      </c>
      <c r="K117">
        <v>369.09913058494999</v>
      </c>
      <c r="L117">
        <v>366.43929132194802</v>
      </c>
      <c r="M117">
        <v>4248987.4499999797</v>
      </c>
      <c r="N117">
        <v>5296661.07</v>
      </c>
      <c r="O117">
        <v>8713849</v>
      </c>
      <c r="P117">
        <v>7532088</v>
      </c>
      <c r="Q117">
        <v>195610509.526889</v>
      </c>
      <c r="R117">
        <v>2298</v>
      </c>
      <c r="S117">
        <v>1941</v>
      </c>
      <c r="T117">
        <v>1692</v>
      </c>
      <c r="U117">
        <v>1438</v>
      </c>
      <c r="V117">
        <v>1017</v>
      </c>
      <c r="W117" s="6" t="str">
        <f>VLOOKUP(E117,Segments!$B$1:$C$12,2,0)</f>
        <v>VHigh</v>
      </c>
      <c r="Z117" t="s">
        <v>2393</v>
      </c>
    </row>
    <row r="118" spans="1:26" x14ac:dyDescent="0.35">
      <c r="A118" s="1">
        <v>44256</v>
      </c>
      <c r="B118">
        <v>25101804</v>
      </c>
      <c r="C118">
        <v>180858</v>
      </c>
      <c r="D118" t="s">
        <v>46</v>
      </c>
      <c r="E118" t="s">
        <v>40</v>
      </c>
      <c r="F118">
        <v>11106424.674920199</v>
      </c>
      <c r="G118">
        <v>10779108.1968707</v>
      </c>
      <c r="H118">
        <v>10196878.4998089</v>
      </c>
      <c r="I118">
        <v>12343287.3280812</v>
      </c>
      <c r="J118">
        <v>59.599841847586198</v>
      </c>
      <c r="K118">
        <v>56.380577579144898</v>
      </c>
      <c r="L118">
        <v>68.2485006363069</v>
      </c>
      <c r="M118">
        <v>3921762.9799999199</v>
      </c>
      <c r="N118">
        <v>3469942.49000003</v>
      </c>
      <c r="O118">
        <v>7108422</v>
      </c>
      <c r="P118">
        <v>12554783</v>
      </c>
      <c r="Q118">
        <v>190993537.29312199</v>
      </c>
      <c r="R118">
        <v>42740</v>
      </c>
      <c r="S118">
        <v>34169</v>
      </c>
      <c r="T118">
        <v>29120</v>
      </c>
      <c r="U118">
        <v>21889</v>
      </c>
      <c r="V118">
        <v>13320</v>
      </c>
      <c r="W118" s="6" t="str">
        <f>VLOOKUP(E118,Segments!$B$1:$C$12,2,0)</f>
        <v>Medium</v>
      </c>
      <c r="Z118" t="s">
        <v>2391</v>
      </c>
    </row>
    <row r="119" spans="1:26" x14ac:dyDescent="0.35">
      <c r="A119" s="1">
        <v>44256</v>
      </c>
      <c r="B119">
        <v>25101804</v>
      </c>
      <c r="C119">
        <v>110551</v>
      </c>
      <c r="D119" t="s">
        <v>46</v>
      </c>
      <c r="E119" t="s">
        <v>41</v>
      </c>
      <c r="F119">
        <v>9566983.2978678606</v>
      </c>
      <c r="G119">
        <v>9522965.3231947105</v>
      </c>
      <c r="H119">
        <v>8984187.79333633</v>
      </c>
      <c r="I119">
        <v>10193796.7770725</v>
      </c>
      <c r="J119">
        <v>86.140924308189994</v>
      </c>
      <c r="K119">
        <v>81.267358896222802</v>
      </c>
      <c r="L119">
        <v>92.208996545237596</v>
      </c>
      <c r="M119">
        <v>3371482.3599999598</v>
      </c>
      <c r="N119">
        <v>3171160.34090001</v>
      </c>
      <c r="O119">
        <v>6302003</v>
      </c>
      <c r="P119">
        <v>9869711</v>
      </c>
      <c r="Q119">
        <v>165498265.884794</v>
      </c>
      <c r="R119">
        <v>20290</v>
      </c>
      <c r="S119">
        <v>16354</v>
      </c>
      <c r="T119">
        <v>13977</v>
      </c>
      <c r="U119">
        <v>10823</v>
      </c>
      <c r="V119">
        <v>6907</v>
      </c>
      <c r="W119" s="6" t="str">
        <f>VLOOKUP(E119,Segments!$B$1:$C$12,2,0)</f>
        <v>Medium</v>
      </c>
      <c r="Z119" t="s">
        <v>2391</v>
      </c>
    </row>
    <row r="120" spans="1:26" x14ac:dyDescent="0.35">
      <c r="A120" s="1">
        <v>44256</v>
      </c>
      <c r="B120">
        <v>25101804</v>
      </c>
      <c r="C120">
        <v>19406</v>
      </c>
      <c r="D120" t="s">
        <v>46</v>
      </c>
      <c r="E120" t="s">
        <v>42</v>
      </c>
      <c r="F120">
        <v>15419163.262192</v>
      </c>
      <c r="G120">
        <v>16523056.1480463</v>
      </c>
      <c r="H120">
        <v>15263001.8606571</v>
      </c>
      <c r="I120">
        <v>14471431.777872499</v>
      </c>
      <c r="J120">
        <v>851.44059301485595</v>
      </c>
      <c r="K120">
        <v>786.50942289277202</v>
      </c>
      <c r="L120">
        <v>745.71945675938105</v>
      </c>
      <c r="M120">
        <v>5119970.7599999802</v>
      </c>
      <c r="N120">
        <v>7726981.1200000104</v>
      </c>
      <c r="O120">
        <v>8090357</v>
      </c>
      <c r="P120">
        <v>6121967</v>
      </c>
      <c r="Q120">
        <v>218152857.436158</v>
      </c>
      <c r="R120">
        <v>792</v>
      </c>
      <c r="S120">
        <v>667</v>
      </c>
      <c r="T120">
        <v>591</v>
      </c>
      <c r="U120">
        <v>503</v>
      </c>
      <c r="V120">
        <v>348</v>
      </c>
      <c r="W120" s="6" t="str">
        <f>VLOOKUP(E120,Segments!$B$1:$C$12,2,0)</f>
        <v>VHigh</v>
      </c>
      <c r="Z120" t="s">
        <v>2393</v>
      </c>
    </row>
    <row r="121" spans="1:26" x14ac:dyDescent="0.35">
      <c r="A121" s="1">
        <v>44256</v>
      </c>
      <c r="B121">
        <v>25101804</v>
      </c>
      <c r="C121">
        <v>13951</v>
      </c>
      <c r="D121" t="s">
        <v>46</v>
      </c>
      <c r="E121" t="s">
        <v>43</v>
      </c>
      <c r="F121">
        <v>-174369.90426032199</v>
      </c>
      <c r="G121">
        <v>-206026.04089203401</v>
      </c>
      <c r="H121">
        <v>-176100.091977542</v>
      </c>
      <c r="I121">
        <v>-140983.57991138901</v>
      </c>
      <c r="J121">
        <v>-14.767833194182</v>
      </c>
      <c r="K121">
        <v>-12.622757650171501</v>
      </c>
      <c r="L121">
        <v>-10.1056253968453</v>
      </c>
      <c r="M121">
        <v>15116.59</v>
      </c>
      <c r="N121">
        <v>4091.9099999999899</v>
      </c>
      <c r="O121">
        <v>1454283</v>
      </c>
      <c r="P121">
        <v>222286</v>
      </c>
      <c r="Q121">
        <v>470820884.66599798</v>
      </c>
      <c r="R121">
        <v>5786</v>
      </c>
      <c r="S121">
        <v>5046</v>
      </c>
      <c r="T121">
        <v>4227</v>
      </c>
      <c r="U121">
        <v>2827</v>
      </c>
      <c r="V121">
        <v>1927</v>
      </c>
      <c r="W121" s="6" t="str">
        <f>VLOOKUP(E121,Segments!$B$1:$C$12,2,0)</f>
        <v>Low</v>
      </c>
      <c r="Z121" t="s">
        <v>2390</v>
      </c>
    </row>
    <row r="122" spans="1:26" x14ac:dyDescent="0.35">
      <c r="A122" s="1">
        <v>44256</v>
      </c>
      <c r="B122">
        <v>25101804</v>
      </c>
      <c r="C122">
        <v>519267</v>
      </c>
      <c r="D122" t="s">
        <v>47</v>
      </c>
      <c r="E122" t="s">
        <v>32</v>
      </c>
      <c r="F122">
        <v>1489727.49952256</v>
      </c>
      <c r="G122">
        <v>1178685.39281664</v>
      </c>
      <c r="H122">
        <v>1141096.05372801</v>
      </c>
      <c r="I122">
        <v>2149401.0520228599</v>
      </c>
      <c r="J122">
        <v>2.2699023677927599</v>
      </c>
      <c r="K122">
        <v>2.1975131362632498</v>
      </c>
      <c r="L122">
        <v>4.1392983802607599</v>
      </c>
      <c r="M122">
        <v>406149.11000000901</v>
      </c>
      <c r="N122">
        <v>201644.78</v>
      </c>
      <c r="O122">
        <v>818878</v>
      </c>
      <c r="P122">
        <v>4869341</v>
      </c>
      <c r="Q122">
        <v>556045970.85581601</v>
      </c>
      <c r="R122">
        <v>377224</v>
      </c>
      <c r="S122">
        <v>334948</v>
      </c>
      <c r="T122">
        <v>285716</v>
      </c>
      <c r="U122">
        <v>158203</v>
      </c>
      <c r="V122">
        <v>82649</v>
      </c>
      <c r="W122" s="6" t="str">
        <f>VLOOKUP(E122,Segments!$B$1:$C$12,2,0)</f>
        <v>Low</v>
      </c>
      <c r="Z122" t="s">
        <v>2390</v>
      </c>
    </row>
    <row r="123" spans="1:26" x14ac:dyDescent="0.35">
      <c r="A123" s="1">
        <v>44256</v>
      </c>
      <c r="B123">
        <v>25101804</v>
      </c>
      <c r="C123">
        <v>231646</v>
      </c>
      <c r="D123" t="s">
        <v>47</v>
      </c>
      <c r="E123" t="s">
        <v>33</v>
      </c>
      <c r="F123">
        <v>3862921.1911404198</v>
      </c>
      <c r="G123">
        <v>3315513.4765437702</v>
      </c>
      <c r="H123">
        <v>3155164.5878517199</v>
      </c>
      <c r="I123">
        <v>5118085.5090260599</v>
      </c>
      <c r="J123">
        <v>14.312845792907099</v>
      </c>
      <c r="K123">
        <v>13.6206305649643</v>
      </c>
      <c r="L123">
        <v>22.0944264482272</v>
      </c>
      <c r="M123">
        <v>1268952.48999998</v>
      </c>
      <c r="N123">
        <v>869585.95999999798</v>
      </c>
      <c r="O123">
        <v>2723464</v>
      </c>
      <c r="P123">
        <v>6602568</v>
      </c>
      <c r="Q123">
        <v>79054369.506296098</v>
      </c>
      <c r="R123">
        <v>113101</v>
      </c>
      <c r="S123">
        <v>93441</v>
      </c>
      <c r="T123">
        <v>78327</v>
      </c>
      <c r="U123">
        <v>47749</v>
      </c>
      <c r="V123">
        <v>25249</v>
      </c>
      <c r="W123" s="6" t="str">
        <f>VLOOKUP(E123,Segments!$B$1:$C$12,2,0)</f>
        <v>Low</v>
      </c>
      <c r="Z123" t="s">
        <v>2390</v>
      </c>
    </row>
    <row r="124" spans="1:26" x14ac:dyDescent="0.35">
      <c r="A124" s="1">
        <v>44256</v>
      </c>
      <c r="B124">
        <v>25101804</v>
      </c>
      <c r="C124">
        <v>53872</v>
      </c>
      <c r="D124" t="s">
        <v>47</v>
      </c>
      <c r="E124" t="s">
        <v>34</v>
      </c>
      <c r="F124">
        <v>6017965.48637369</v>
      </c>
      <c r="G124">
        <v>6307554.86490288</v>
      </c>
      <c r="H124">
        <v>5767571.9966128198</v>
      </c>
      <c r="I124">
        <v>5978769.5976053998</v>
      </c>
      <c r="J124">
        <v>117.08410426386401</v>
      </c>
      <c r="K124">
        <v>107.06066224778699</v>
      </c>
      <c r="L124">
        <v>110.981021636572</v>
      </c>
      <c r="M124">
        <v>2045281.3499999801</v>
      </c>
      <c r="N124">
        <v>2102530.64</v>
      </c>
      <c r="O124">
        <v>4235900</v>
      </c>
      <c r="P124">
        <v>6197370</v>
      </c>
      <c r="Q124">
        <v>116807438.681191</v>
      </c>
      <c r="R124">
        <v>6466</v>
      </c>
      <c r="S124">
        <v>5097</v>
      </c>
      <c r="T124">
        <v>4299</v>
      </c>
      <c r="U124">
        <v>3372</v>
      </c>
      <c r="V124">
        <v>2276</v>
      </c>
      <c r="W124" s="6" t="str">
        <f>VLOOKUP(E124,Segments!$B$1:$C$12,2,0)</f>
        <v>Medium</v>
      </c>
      <c r="Z124" t="s">
        <v>2391</v>
      </c>
    </row>
    <row r="125" spans="1:26" x14ac:dyDescent="0.35">
      <c r="A125" s="1">
        <v>44256</v>
      </c>
      <c r="B125">
        <v>25101804</v>
      </c>
      <c r="C125">
        <v>36892</v>
      </c>
      <c r="D125" t="s">
        <v>47</v>
      </c>
      <c r="E125" t="s">
        <v>35</v>
      </c>
      <c r="F125">
        <v>5046420.3267866801</v>
      </c>
      <c r="G125">
        <v>5304060.5571080297</v>
      </c>
      <c r="H125">
        <v>4865121.5783259999</v>
      </c>
      <c r="I125">
        <v>4970078.8449260201</v>
      </c>
      <c r="J125">
        <v>143.77264873435999</v>
      </c>
      <c r="K125">
        <v>131.87470395549099</v>
      </c>
      <c r="L125">
        <v>134.719691123442</v>
      </c>
      <c r="M125">
        <v>1691991.1099999901</v>
      </c>
      <c r="N125">
        <v>1796761.67</v>
      </c>
      <c r="O125">
        <v>3574036</v>
      </c>
      <c r="P125">
        <v>4807048</v>
      </c>
      <c r="Q125">
        <v>95684633.470836595</v>
      </c>
      <c r="R125">
        <v>3794</v>
      </c>
      <c r="S125">
        <v>2977</v>
      </c>
      <c r="T125">
        <v>2478</v>
      </c>
      <c r="U125">
        <v>1999</v>
      </c>
      <c r="V125">
        <v>1337</v>
      </c>
      <c r="W125" s="6" t="str">
        <f>VLOOKUP(E125,Segments!$B$1:$C$12,2,0)</f>
        <v>High</v>
      </c>
      <c r="Z125" t="s">
        <v>2392</v>
      </c>
    </row>
    <row r="126" spans="1:26" x14ac:dyDescent="0.35">
      <c r="A126" s="1">
        <v>44256</v>
      </c>
      <c r="B126">
        <v>25101804</v>
      </c>
      <c r="C126">
        <v>45753</v>
      </c>
      <c r="D126" t="s">
        <v>47</v>
      </c>
      <c r="E126" t="s">
        <v>36</v>
      </c>
      <c r="F126">
        <v>7888725.7740904102</v>
      </c>
      <c r="G126">
        <v>8353576.5168140298</v>
      </c>
      <c r="H126">
        <v>7635974.3381818198</v>
      </c>
      <c r="I126">
        <v>7676626.46727541</v>
      </c>
      <c r="J126">
        <v>182.57986398299599</v>
      </c>
      <c r="K126">
        <v>166.895598937377</v>
      </c>
      <c r="L126">
        <v>167.78411180196699</v>
      </c>
      <c r="M126">
        <v>2569663.8499999801</v>
      </c>
      <c r="N126">
        <v>2903325.1508999998</v>
      </c>
      <c r="O126">
        <v>5624373</v>
      </c>
      <c r="P126">
        <v>6943702</v>
      </c>
      <c r="Q126">
        <v>148909736.44256601</v>
      </c>
      <c r="R126">
        <v>3997</v>
      </c>
      <c r="S126">
        <v>3194</v>
      </c>
      <c r="T126">
        <v>2685</v>
      </c>
      <c r="U126">
        <v>2181</v>
      </c>
      <c r="V126">
        <v>1486</v>
      </c>
      <c r="W126" s="6" t="str">
        <f>VLOOKUP(E126,Segments!$B$1:$C$12,2,0)</f>
        <v>High</v>
      </c>
      <c r="Z126" t="s">
        <v>2392</v>
      </c>
    </row>
    <row r="127" spans="1:26" x14ac:dyDescent="0.35">
      <c r="A127" s="1">
        <v>44256</v>
      </c>
      <c r="B127">
        <v>25101804</v>
      </c>
      <c r="C127">
        <v>42237</v>
      </c>
      <c r="D127" t="s">
        <v>47</v>
      </c>
      <c r="E127" t="s">
        <v>37</v>
      </c>
      <c r="F127">
        <v>10223160.6582091</v>
      </c>
      <c r="G127">
        <v>10831239.1271143</v>
      </c>
      <c r="H127">
        <v>9984722.9606715497</v>
      </c>
      <c r="I127">
        <v>9853519.8868415095</v>
      </c>
      <c r="J127">
        <v>256.43959388958302</v>
      </c>
      <c r="K127">
        <v>236.39754150795599</v>
      </c>
      <c r="L127">
        <v>233.29118750956499</v>
      </c>
      <c r="M127">
        <v>3221178.8399999901</v>
      </c>
      <c r="N127">
        <v>3902432.42</v>
      </c>
      <c r="O127">
        <v>7341557</v>
      </c>
      <c r="P127">
        <v>7680933</v>
      </c>
      <c r="Q127">
        <v>182021617.26396599</v>
      </c>
      <c r="R127">
        <v>2909</v>
      </c>
      <c r="S127">
        <v>2359</v>
      </c>
      <c r="T127">
        <v>1990</v>
      </c>
      <c r="U127">
        <v>1620</v>
      </c>
      <c r="V127">
        <v>1141</v>
      </c>
      <c r="W127" s="6" t="str">
        <f>VLOOKUP(E127,Segments!$B$1:$C$12,2,0)</f>
        <v>High</v>
      </c>
      <c r="Z127" t="s">
        <v>2392</v>
      </c>
    </row>
    <row r="128" spans="1:26" x14ac:dyDescent="0.35">
      <c r="A128" s="1">
        <v>44256</v>
      </c>
      <c r="B128">
        <v>25101804</v>
      </c>
      <c r="C128">
        <v>218795</v>
      </c>
      <c r="D128" t="s">
        <v>47</v>
      </c>
      <c r="E128" t="s">
        <v>38</v>
      </c>
      <c r="F128">
        <v>7950724.5131965997</v>
      </c>
      <c r="G128">
        <v>7641445.6974758198</v>
      </c>
      <c r="H128">
        <v>7093727.6540702796</v>
      </c>
      <c r="I128">
        <v>9117000.1880439799</v>
      </c>
      <c r="J128">
        <v>34.9251385885226</v>
      </c>
      <c r="K128">
        <v>32.421799648393602</v>
      </c>
      <c r="L128">
        <v>41.6691432073127</v>
      </c>
      <c r="M128">
        <v>2838953.7299999301</v>
      </c>
      <c r="N128">
        <v>2270543.2000000202</v>
      </c>
      <c r="O128">
        <v>5322051</v>
      </c>
      <c r="P128">
        <v>11103349</v>
      </c>
      <c r="Q128">
        <v>154458208.40478501</v>
      </c>
      <c r="R128">
        <v>66747</v>
      </c>
      <c r="S128">
        <v>52840</v>
      </c>
      <c r="T128">
        <v>43963</v>
      </c>
      <c r="U128">
        <v>30374</v>
      </c>
      <c r="V128">
        <v>17442</v>
      </c>
      <c r="W128" s="6" t="str">
        <f>VLOOKUP(E128,Segments!$B$1:$C$12,2,0)</f>
        <v>Medium</v>
      </c>
      <c r="Z128" t="s">
        <v>2391</v>
      </c>
    </row>
    <row r="129" spans="1:26" x14ac:dyDescent="0.35">
      <c r="A129" s="1">
        <v>44256</v>
      </c>
      <c r="B129">
        <v>25101804</v>
      </c>
      <c r="C129">
        <v>27042</v>
      </c>
      <c r="D129" t="s">
        <v>47</v>
      </c>
      <c r="E129" t="s">
        <v>39</v>
      </c>
      <c r="F129">
        <v>10216782.901017301</v>
      </c>
      <c r="G129">
        <v>10860730.353488499</v>
      </c>
      <c r="H129">
        <v>10014450.667296199</v>
      </c>
      <c r="I129">
        <v>9775167.6822674293</v>
      </c>
      <c r="J129">
        <v>401.62452309328199</v>
      </c>
      <c r="K129">
        <v>370.32951214023501</v>
      </c>
      <c r="L129">
        <v>361.48094380102901</v>
      </c>
      <c r="M129">
        <v>3135129.4599999902</v>
      </c>
      <c r="N129">
        <v>4237208.1709000003</v>
      </c>
      <c r="O129">
        <v>6887301</v>
      </c>
      <c r="P129">
        <v>6074813</v>
      </c>
      <c r="Q129">
        <v>159510577.18158099</v>
      </c>
      <c r="R129">
        <v>1380</v>
      </c>
      <c r="S129">
        <v>1117</v>
      </c>
      <c r="T129">
        <v>943</v>
      </c>
      <c r="U129">
        <v>804</v>
      </c>
      <c r="V129">
        <v>550</v>
      </c>
      <c r="W129" s="6" t="str">
        <f>VLOOKUP(E129,Segments!$B$1:$C$12,2,0)</f>
        <v>VHigh</v>
      </c>
      <c r="Z129" t="s">
        <v>2393</v>
      </c>
    </row>
    <row r="130" spans="1:26" x14ac:dyDescent="0.35">
      <c r="A130" s="1">
        <v>44256</v>
      </c>
      <c r="B130">
        <v>25101804</v>
      </c>
      <c r="C130">
        <v>130875</v>
      </c>
      <c r="D130" t="s">
        <v>47</v>
      </c>
      <c r="E130" t="s">
        <v>40</v>
      </c>
      <c r="F130">
        <v>8044738.2162216501</v>
      </c>
      <c r="G130">
        <v>8150145.72872095</v>
      </c>
      <c r="H130">
        <v>7487689.3095636796</v>
      </c>
      <c r="I130">
        <v>8496379.6103803702</v>
      </c>
      <c r="J130">
        <v>62.274274909042603</v>
      </c>
      <c r="K130">
        <v>57.212525765529499</v>
      </c>
      <c r="L130">
        <v>64.919806000996203</v>
      </c>
      <c r="M130">
        <v>2876074.5799999498</v>
      </c>
      <c r="N130">
        <v>2564294.2300000102</v>
      </c>
      <c r="O130">
        <v>5328323</v>
      </c>
      <c r="P130">
        <v>9831542</v>
      </c>
      <c r="Q130">
        <v>157430057.00224501</v>
      </c>
      <c r="R130">
        <v>25646</v>
      </c>
      <c r="S130">
        <v>20031</v>
      </c>
      <c r="T130">
        <v>16695</v>
      </c>
      <c r="U130">
        <v>12441</v>
      </c>
      <c r="V130">
        <v>7697</v>
      </c>
      <c r="W130" s="6" t="str">
        <f>VLOOKUP(E130,Segments!$B$1:$C$12,2,0)</f>
        <v>Medium</v>
      </c>
      <c r="Z130" t="s">
        <v>2391</v>
      </c>
    </row>
    <row r="131" spans="1:26" x14ac:dyDescent="0.35">
      <c r="A131" s="1">
        <v>44256</v>
      </c>
      <c r="B131">
        <v>25101804</v>
      </c>
      <c r="C131">
        <v>81038</v>
      </c>
      <c r="D131" t="s">
        <v>47</v>
      </c>
      <c r="E131" t="s">
        <v>41</v>
      </c>
      <c r="F131">
        <v>7014537.9543911004</v>
      </c>
      <c r="G131">
        <v>7262150.3549265703</v>
      </c>
      <c r="H131">
        <v>6642951.2916317796</v>
      </c>
      <c r="I131">
        <v>7138512.2166150203</v>
      </c>
      <c r="J131">
        <v>89.614136021700602</v>
      </c>
      <c r="K131">
        <v>81.973287737009599</v>
      </c>
      <c r="L131">
        <v>88.088455004010697</v>
      </c>
      <c r="M131">
        <v>2455785.5999999698</v>
      </c>
      <c r="N131">
        <v>2376353.7917999998</v>
      </c>
      <c r="O131">
        <v>4789019</v>
      </c>
      <c r="P131">
        <v>7905591</v>
      </c>
      <c r="Q131">
        <v>135638407.566811</v>
      </c>
      <c r="R131">
        <v>11976</v>
      </c>
      <c r="S131">
        <v>9431</v>
      </c>
      <c r="T131">
        <v>7940</v>
      </c>
      <c r="U131">
        <v>6155</v>
      </c>
      <c r="V131">
        <v>3969</v>
      </c>
      <c r="W131" s="6" t="str">
        <f>VLOOKUP(E131,Segments!$B$1:$C$12,2,0)</f>
        <v>Medium</v>
      </c>
      <c r="Z131" t="s">
        <v>2391</v>
      </c>
    </row>
    <row r="132" spans="1:26" x14ac:dyDescent="0.35">
      <c r="A132" s="1">
        <v>44256</v>
      </c>
      <c r="B132">
        <v>25101804</v>
      </c>
      <c r="C132">
        <v>15769</v>
      </c>
      <c r="D132" t="s">
        <v>47</v>
      </c>
      <c r="E132" t="s">
        <v>42</v>
      </c>
      <c r="F132">
        <v>12618804.646713501</v>
      </c>
      <c r="G132">
        <v>13608147.516070601</v>
      </c>
      <c r="H132">
        <v>12464911.1356372</v>
      </c>
      <c r="I132">
        <v>11783355.288432701</v>
      </c>
      <c r="J132">
        <v>862.968324945821</v>
      </c>
      <c r="K132">
        <v>790.46934717720001</v>
      </c>
      <c r="L132">
        <v>747.24809997037198</v>
      </c>
      <c r="M132">
        <v>3880020.5599999898</v>
      </c>
      <c r="N132">
        <v>6521557.5909000002</v>
      </c>
      <c r="O132">
        <v>6468324</v>
      </c>
      <c r="P132">
        <v>5021139</v>
      </c>
      <c r="Q132">
        <v>177862802.089836</v>
      </c>
      <c r="R132">
        <v>513</v>
      </c>
      <c r="S132">
        <v>416</v>
      </c>
      <c r="T132">
        <v>361</v>
      </c>
      <c r="U132">
        <v>307</v>
      </c>
      <c r="V132">
        <v>218</v>
      </c>
      <c r="W132" s="6" t="str">
        <f>VLOOKUP(E132,Segments!$B$1:$C$12,2,0)</f>
        <v>VHigh</v>
      </c>
      <c r="Z132" t="s">
        <v>2393</v>
      </c>
    </row>
    <row r="133" spans="1:26" x14ac:dyDescent="0.35">
      <c r="A133" s="1">
        <v>44256</v>
      </c>
      <c r="B133">
        <v>25101804</v>
      </c>
      <c r="C133">
        <v>13175</v>
      </c>
      <c r="D133" t="s">
        <v>47</v>
      </c>
      <c r="E133" t="s">
        <v>43</v>
      </c>
      <c r="F133">
        <v>-83854.802473689095</v>
      </c>
      <c r="G133">
        <v>-69564.8130020471</v>
      </c>
      <c r="H133">
        <v>-95592.840448214702</v>
      </c>
      <c r="I133">
        <v>-86406.753970805396</v>
      </c>
      <c r="J133">
        <v>-5.2800617079352596</v>
      </c>
      <c r="K133">
        <v>-7.2556235634318504</v>
      </c>
      <c r="L133">
        <v>-6.5583873981635898</v>
      </c>
      <c r="M133">
        <v>10161.049999999999</v>
      </c>
      <c r="N133">
        <v>5232.1899999999996</v>
      </c>
      <c r="O133">
        <v>59237</v>
      </c>
      <c r="P133">
        <v>49127</v>
      </c>
      <c r="Q133">
        <v>738281714.58378196</v>
      </c>
      <c r="R133">
        <v>4692</v>
      </c>
      <c r="S133">
        <v>4261</v>
      </c>
      <c r="T133">
        <v>3690</v>
      </c>
      <c r="U133">
        <v>2638</v>
      </c>
      <c r="V133">
        <v>1991</v>
      </c>
      <c r="W133" s="6" t="str">
        <f>VLOOKUP(E133,Segments!$B$1:$C$12,2,0)</f>
        <v>Low</v>
      </c>
      <c r="Z133" t="s">
        <v>2390</v>
      </c>
    </row>
    <row r="134" spans="1:26" x14ac:dyDescent="0.35">
      <c r="A134" s="1">
        <v>44256</v>
      </c>
      <c r="B134">
        <v>25101804</v>
      </c>
      <c r="C134">
        <v>1486929</v>
      </c>
      <c r="D134" t="s">
        <v>48</v>
      </c>
      <c r="E134" t="s">
        <v>32</v>
      </c>
      <c r="F134">
        <v>5035099.0955808898</v>
      </c>
      <c r="G134">
        <v>4711457.9554786002</v>
      </c>
      <c r="H134">
        <v>4180101.2409184398</v>
      </c>
      <c r="I134">
        <v>6213738.0903482595</v>
      </c>
      <c r="J134">
        <v>3.1685830026037598</v>
      </c>
      <c r="K134">
        <v>2.8112312295465598</v>
      </c>
      <c r="L134">
        <v>4.1789070563209503</v>
      </c>
      <c r="M134">
        <v>1911790.3104999501</v>
      </c>
      <c r="N134">
        <v>435799.91669999302</v>
      </c>
      <c r="O134">
        <v>2743971</v>
      </c>
      <c r="P134">
        <v>41898754</v>
      </c>
      <c r="Q134">
        <v>153193721.30061701</v>
      </c>
      <c r="R134">
        <v>756689</v>
      </c>
      <c r="S134">
        <v>593361</v>
      </c>
      <c r="T134">
        <v>458250</v>
      </c>
      <c r="U134">
        <v>254033</v>
      </c>
      <c r="V134">
        <v>136309</v>
      </c>
      <c r="W134" s="6" t="str">
        <f>VLOOKUP(E134,Segments!$B$1:$C$12,2,0)</f>
        <v>Low</v>
      </c>
      <c r="Z134" t="s">
        <v>2390</v>
      </c>
    </row>
    <row r="135" spans="1:26" x14ac:dyDescent="0.35">
      <c r="A135" s="1">
        <v>44256</v>
      </c>
      <c r="B135">
        <v>25101804</v>
      </c>
      <c r="C135">
        <v>1020153</v>
      </c>
      <c r="D135" t="s">
        <v>48</v>
      </c>
      <c r="E135" t="s">
        <v>33</v>
      </c>
      <c r="F135">
        <v>17446342.177241001</v>
      </c>
      <c r="G135">
        <v>17227179.787014801</v>
      </c>
      <c r="H135">
        <v>14747897.0281338</v>
      </c>
      <c r="I135">
        <v>20363949.716575202</v>
      </c>
      <c r="J135">
        <v>16.8868589192159</v>
      </c>
      <c r="K135">
        <v>14.4565540934877</v>
      </c>
      <c r="L135">
        <v>19.961662335527301</v>
      </c>
      <c r="M135">
        <v>8901155.1918992102</v>
      </c>
      <c r="N135">
        <v>2433332.9072000799</v>
      </c>
      <c r="O135">
        <v>14265721</v>
      </c>
      <c r="P135">
        <v>64615801</v>
      </c>
      <c r="Q135">
        <v>212240936.03186801</v>
      </c>
      <c r="R135">
        <v>223394</v>
      </c>
      <c r="S135">
        <v>152008</v>
      </c>
      <c r="T135">
        <v>111458</v>
      </c>
      <c r="U135">
        <v>63798</v>
      </c>
      <c r="V135">
        <v>33095</v>
      </c>
      <c r="W135" s="6" t="str">
        <f>VLOOKUP(E135,Segments!$B$1:$C$12,2,0)</f>
        <v>Low</v>
      </c>
      <c r="Z135" t="s">
        <v>2390</v>
      </c>
    </row>
    <row r="136" spans="1:26" x14ac:dyDescent="0.35">
      <c r="A136" s="1">
        <v>44256</v>
      </c>
      <c r="B136">
        <v>25101804</v>
      </c>
      <c r="C136">
        <v>569382</v>
      </c>
      <c r="D136" t="s">
        <v>48</v>
      </c>
      <c r="E136" t="s">
        <v>34</v>
      </c>
      <c r="F136">
        <v>63764349.321721204</v>
      </c>
      <c r="G136">
        <v>66940309.194116898</v>
      </c>
      <c r="H136">
        <v>58936955.243745901</v>
      </c>
      <c r="I136">
        <v>65415783.5273012</v>
      </c>
      <c r="J136">
        <v>117.56660588869499</v>
      </c>
      <c r="K136">
        <v>103.510394153215</v>
      </c>
      <c r="L136">
        <v>114.88909647179</v>
      </c>
      <c r="M136">
        <v>30373395.772700202</v>
      </c>
      <c r="N136">
        <v>17392368.804399598</v>
      </c>
      <c r="O136">
        <v>50749460</v>
      </c>
      <c r="P136">
        <v>100768269</v>
      </c>
      <c r="Q136">
        <v>600540098.01665699</v>
      </c>
      <c r="R136">
        <v>18612</v>
      </c>
      <c r="S136">
        <v>12588</v>
      </c>
      <c r="T136">
        <v>9459</v>
      </c>
      <c r="U136">
        <v>6799</v>
      </c>
      <c r="V136">
        <v>4249</v>
      </c>
      <c r="W136" s="6" t="str">
        <f>VLOOKUP(E136,Segments!$B$1:$C$12,2,0)</f>
        <v>Medium</v>
      </c>
      <c r="Z136" t="s">
        <v>2391</v>
      </c>
    </row>
    <row r="137" spans="1:26" x14ac:dyDescent="0.35">
      <c r="A137" s="1">
        <v>44256</v>
      </c>
      <c r="B137">
        <v>25101804</v>
      </c>
      <c r="C137">
        <v>451289</v>
      </c>
      <c r="D137" t="s">
        <v>48</v>
      </c>
      <c r="E137" t="s">
        <v>35</v>
      </c>
      <c r="F137">
        <v>61834862.105666503</v>
      </c>
      <c r="G137">
        <v>65113583.740151398</v>
      </c>
      <c r="H137">
        <v>57506775.138112098</v>
      </c>
      <c r="I137">
        <v>62884227.438736498</v>
      </c>
      <c r="J137">
        <v>144.28356051255699</v>
      </c>
      <c r="K137">
        <v>127.427823718531</v>
      </c>
      <c r="L137">
        <v>139.343585681761</v>
      </c>
      <c r="M137">
        <v>28581776.8743002</v>
      </c>
      <c r="N137">
        <v>17838736.303199701</v>
      </c>
      <c r="O137">
        <v>49497747</v>
      </c>
      <c r="P137">
        <v>88680914</v>
      </c>
      <c r="Q137">
        <v>589630158.09325504</v>
      </c>
      <c r="R137">
        <v>11838</v>
      </c>
      <c r="S137">
        <v>8099</v>
      </c>
      <c r="T137">
        <v>6140</v>
      </c>
      <c r="U137">
        <v>4454</v>
      </c>
      <c r="V137">
        <v>2751</v>
      </c>
      <c r="W137" s="6" t="str">
        <f>VLOOKUP(E137,Segments!$B$1:$C$12,2,0)</f>
        <v>High</v>
      </c>
      <c r="Z137" t="s">
        <v>2392</v>
      </c>
    </row>
    <row r="138" spans="1:26" x14ac:dyDescent="0.35">
      <c r="A138" s="1">
        <v>44256</v>
      </c>
      <c r="B138">
        <v>25101804</v>
      </c>
      <c r="C138">
        <v>657748</v>
      </c>
      <c r="D138" t="s">
        <v>48</v>
      </c>
      <c r="E138" t="s">
        <v>36</v>
      </c>
      <c r="F138">
        <v>113985284.14642499</v>
      </c>
      <c r="G138">
        <v>120542083.04047</v>
      </c>
      <c r="H138">
        <v>106759505.97239199</v>
      </c>
      <c r="I138">
        <v>114654263.426414</v>
      </c>
      <c r="J138">
        <v>183.26484161178701</v>
      </c>
      <c r="K138">
        <v>162.310650845601</v>
      </c>
      <c r="L138">
        <v>174.313359259799</v>
      </c>
      <c r="M138">
        <v>51019354.343300901</v>
      </c>
      <c r="N138">
        <v>34985084.698299304</v>
      </c>
      <c r="O138">
        <v>91992871</v>
      </c>
      <c r="P138">
        <v>145546769</v>
      </c>
      <c r="Q138">
        <v>1090680250.32534</v>
      </c>
      <c r="R138">
        <v>13288</v>
      </c>
      <c r="S138">
        <v>9259</v>
      </c>
      <c r="T138">
        <v>6982</v>
      </c>
      <c r="U138">
        <v>5161</v>
      </c>
      <c r="V138">
        <v>3203</v>
      </c>
      <c r="W138" s="6" t="str">
        <f>VLOOKUP(E138,Segments!$B$1:$C$12,2,0)</f>
        <v>High</v>
      </c>
      <c r="Z138" t="s">
        <v>2392</v>
      </c>
    </row>
    <row r="139" spans="1:26" x14ac:dyDescent="0.35">
      <c r="A139" s="1">
        <v>44256</v>
      </c>
      <c r="B139">
        <v>25101804</v>
      </c>
      <c r="C139">
        <v>766209</v>
      </c>
      <c r="D139" t="s">
        <v>48</v>
      </c>
      <c r="E139" t="s">
        <v>37</v>
      </c>
      <c r="F139">
        <v>187181669.57221201</v>
      </c>
      <c r="G139">
        <v>198760599.13328901</v>
      </c>
      <c r="H139">
        <v>176979732.20733801</v>
      </c>
      <c r="I139">
        <v>185804677.37600899</v>
      </c>
      <c r="J139">
        <v>259.40781057556001</v>
      </c>
      <c r="K139">
        <v>230.98101458914999</v>
      </c>
      <c r="L139">
        <v>242.498688185612</v>
      </c>
      <c r="M139">
        <v>79215928.368399993</v>
      </c>
      <c r="N139">
        <v>63095998.826999001</v>
      </c>
      <c r="O139">
        <v>150798791</v>
      </c>
      <c r="P139">
        <v>202001537</v>
      </c>
      <c r="Q139">
        <v>1795577618.2078199</v>
      </c>
      <c r="R139">
        <v>10691</v>
      </c>
      <c r="S139">
        <v>7482</v>
      </c>
      <c r="T139">
        <v>5676</v>
      </c>
      <c r="U139">
        <v>4224</v>
      </c>
      <c r="V139">
        <v>2697</v>
      </c>
      <c r="W139" s="6" t="str">
        <f>VLOOKUP(E139,Segments!$B$1:$C$12,2,0)</f>
        <v>High</v>
      </c>
      <c r="Z139" t="s">
        <v>2392</v>
      </c>
    </row>
    <row r="140" spans="1:26" x14ac:dyDescent="0.35">
      <c r="A140" s="1">
        <v>44256</v>
      </c>
      <c r="B140">
        <v>25101804</v>
      </c>
      <c r="C140">
        <v>1271742</v>
      </c>
      <c r="D140" t="s">
        <v>48</v>
      </c>
      <c r="E140" t="s">
        <v>38</v>
      </c>
      <c r="F140">
        <v>46891097.679257102</v>
      </c>
      <c r="G140">
        <v>47878270.350446001</v>
      </c>
      <c r="H140">
        <v>41269253.534787796</v>
      </c>
      <c r="I140">
        <v>51525769.152536698</v>
      </c>
      <c r="J140">
        <v>37.647785754064898</v>
      </c>
      <c r="K140">
        <v>32.450963744837999</v>
      </c>
      <c r="L140">
        <v>40.515897998600799</v>
      </c>
      <c r="M140">
        <v>25013065.815801501</v>
      </c>
      <c r="N140">
        <v>8564343.4211999606</v>
      </c>
      <c r="O140">
        <v>38925617</v>
      </c>
      <c r="P140">
        <v>122234754</v>
      </c>
      <c r="Q140">
        <v>465636459.95267397</v>
      </c>
      <c r="R140">
        <v>142416</v>
      </c>
      <c r="S140">
        <v>94105</v>
      </c>
      <c r="T140">
        <v>69418</v>
      </c>
      <c r="U140">
        <v>43181</v>
      </c>
      <c r="V140">
        <v>23451</v>
      </c>
      <c r="W140" s="6" t="str">
        <f>VLOOKUP(E140,Segments!$B$1:$C$12,2,0)</f>
        <v>Medium</v>
      </c>
      <c r="Z140" t="s">
        <v>2391</v>
      </c>
    </row>
    <row r="141" spans="1:26" x14ac:dyDescent="0.35">
      <c r="A141" s="1">
        <v>44256</v>
      </c>
      <c r="B141">
        <v>25101804</v>
      </c>
      <c r="C141">
        <v>642292</v>
      </c>
      <c r="D141" t="s">
        <v>48</v>
      </c>
      <c r="E141" t="s">
        <v>39</v>
      </c>
      <c r="F141">
        <v>245427045.585886</v>
      </c>
      <c r="G141">
        <v>262407511.991537</v>
      </c>
      <c r="H141">
        <v>234154680.01126501</v>
      </c>
      <c r="I141">
        <v>239718944.75485599</v>
      </c>
      <c r="J141">
        <v>408.54862273162001</v>
      </c>
      <c r="K141">
        <v>364.56110306724202</v>
      </c>
      <c r="L141">
        <v>373.22424186329101</v>
      </c>
      <c r="M141">
        <v>95652846.516900793</v>
      </c>
      <c r="N141">
        <v>94160494.410500303</v>
      </c>
      <c r="O141">
        <v>188024524</v>
      </c>
      <c r="P141">
        <v>211882987</v>
      </c>
      <c r="Q141">
        <v>2319427618.14785</v>
      </c>
      <c r="R141">
        <v>5659</v>
      </c>
      <c r="S141">
        <v>4102</v>
      </c>
      <c r="T141">
        <v>3156</v>
      </c>
      <c r="U141">
        <v>2385</v>
      </c>
      <c r="V141">
        <v>1574</v>
      </c>
      <c r="W141" s="6" t="str">
        <f>VLOOKUP(E141,Segments!$B$1:$C$12,2,0)</f>
        <v>VHigh</v>
      </c>
      <c r="Z141" t="s">
        <v>2393</v>
      </c>
    </row>
    <row r="142" spans="1:26" x14ac:dyDescent="0.35">
      <c r="A142" s="1">
        <v>44256</v>
      </c>
      <c r="B142">
        <v>25101804</v>
      </c>
      <c r="C142">
        <v>954551</v>
      </c>
      <c r="D142" t="s">
        <v>48</v>
      </c>
      <c r="E142" t="s">
        <v>40</v>
      </c>
      <c r="F142">
        <v>59112367.136041202</v>
      </c>
      <c r="G142">
        <v>61361167.116570197</v>
      </c>
      <c r="H142">
        <v>53358909.633641899</v>
      </c>
      <c r="I142">
        <v>62617024.657911301</v>
      </c>
      <c r="J142">
        <v>64.2827540032646</v>
      </c>
      <c r="K142">
        <v>55.899485342995703</v>
      </c>
      <c r="L142">
        <v>65.598406641354202</v>
      </c>
      <c r="M142">
        <v>30455921.817800999</v>
      </c>
      <c r="N142">
        <v>13345529.262199501</v>
      </c>
      <c r="O142">
        <v>47455067</v>
      </c>
      <c r="P142">
        <v>121982134</v>
      </c>
      <c r="Q142">
        <v>563838956.37056506</v>
      </c>
      <c r="R142">
        <v>60637</v>
      </c>
      <c r="S142">
        <v>40289</v>
      </c>
      <c r="T142">
        <v>30073</v>
      </c>
      <c r="U142">
        <v>20174</v>
      </c>
      <c r="V142">
        <v>11441</v>
      </c>
      <c r="W142" s="6" t="str">
        <f>VLOOKUP(E142,Segments!$B$1:$C$12,2,0)</f>
        <v>Medium</v>
      </c>
      <c r="Z142" t="s">
        <v>2391</v>
      </c>
    </row>
    <row r="143" spans="1:26" x14ac:dyDescent="0.35">
      <c r="A143" s="1">
        <v>44256</v>
      </c>
      <c r="B143">
        <v>25101804</v>
      </c>
      <c r="C143">
        <v>730975</v>
      </c>
      <c r="D143" t="s">
        <v>48</v>
      </c>
      <c r="E143" t="s">
        <v>41</v>
      </c>
      <c r="F143">
        <v>63575270.348105803</v>
      </c>
      <c r="G143">
        <v>66543348.653693102</v>
      </c>
      <c r="H143">
        <v>58266462.915729403</v>
      </c>
      <c r="I143">
        <v>65915999.474894702</v>
      </c>
      <c r="J143">
        <v>91.033686040826495</v>
      </c>
      <c r="K143">
        <v>79.710609686691697</v>
      </c>
      <c r="L143">
        <v>90.175449878442805</v>
      </c>
      <c r="M143">
        <v>31462335.5768006</v>
      </c>
      <c r="N143">
        <v>16112910.092899499</v>
      </c>
      <c r="O143">
        <v>50519602</v>
      </c>
      <c r="P143">
        <v>112630721</v>
      </c>
      <c r="Q143">
        <v>600279360.31760001</v>
      </c>
      <c r="R143">
        <v>31785</v>
      </c>
      <c r="S143">
        <v>21384</v>
      </c>
      <c r="T143">
        <v>15980</v>
      </c>
      <c r="U143">
        <v>11139</v>
      </c>
      <c r="V143">
        <v>6529</v>
      </c>
      <c r="W143" s="6" t="str">
        <f>VLOOKUP(E143,Segments!$B$1:$C$12,2,0)</f>
        <v>Medium</v>
      </c>
      <c r="Z143" t="s">
        <v>2391</v>
      </c>
    </row>
    <row r="144" spans="1:26" x14ac:dyDescent="0.35">
      <c r="A144" s="1">
        <v>44256</v>
      </c>
      <c r="B144">
        <v>25101804</v>
      </c>
      <c r="C144">
        <v>471944</v>
      </c>
      <c r="D144" t="s">
        <v>48</v>
      </c>
      <c r="E144" t="s">
        <v>42</v>
      </c>
      <c r="F144">
        <v>384672373.56719398</v>
      </c>
      <c r="G144">
        <v>417196977.31672001</v>
      </c>
      <c r="H144">
        <v>370897112.03685498</v>
      </c>
      <c r="I144">
        <v>365923031.34799802</v>
      </c>
      <c r="J144">
        <v>883.99678206888996</v>
      </c>
      <c r="K144">
        <v>785.89220762814102</v>
      </c>
      <c r="L144">
        <v>775.35265062803705</v>
      </c>
      <c r="M144">
        <v>143683641.29789901</v>
      </c>
      <c r="N144">
        <v>185905318.69389999</v>
      </c>
      <c r="O144">
        <v>235563162</v>
      </c>
      <c r="P144">
        <v>221047471</v>
      </c>
      <c r="Q144">
        <v>3666243222.2088199</v>
      </c>
      <c r="R144">
        <v>2067</v>
      </c>
      <c r="S144">
        <v>1498</v>
      </c>
      <c r="T144">
        <v>1125</v>
      </c>
      <c r="U144">
        <v>882</v>
      </c>
      <c r="V144">
        <v>584</v>
      </c>
      <c r="W144" s="6" t="str">
        <f>VLOOKUP(E144,Segments!$B$1:$C$12,2,0)</f>
        <v>VHigh</v>
      </c>
      <c r="Z144" t="s">
        <v>2393</v>
      </c>
    </row>
    <row r="145" spans="1:26" x14ac:dyDescent="0.35">
      <c r="A145" s="1">
        <v>44256</v>
      </c>
      <c r="B145">
        <v>25101804</v>
      </c>
      <c r="C145">
        <v>16153</v>
      </c>
      <c r="D145" t="s">
        <v>48</v>
      </c>
      <c r="E145" t="s">
        <v>43</v>
      </c>
      <c r="F145">
        <v>-238708.37182445001</v>
      </c>
      <c r="G145">
        <v>-281847.09724168503</v>
      </c>
      <c r="H145">
        <v>-226870.52842946001</v>
      </c>
      <c r="I145">
        <v>-207407.489802205</v>
      </c>
      <c r="J145">
        <v>-17.448591422131098</v>
      </c>
      <c r="K145">
        <v>-14.0451017414387</v>
      </c>
      <c r="L145">
        <v>-12.840183854528799</v>
      </c>
      <c r="M145">
        <v>98567.952999999907</v>
      </c>
      <c r="N145">
        <v>19369.349999999999</v>
      </c>
      <c r="O145">
        <v>152260</v>
      </c>
      <c r="P145">
        <v>418196</v>
      </c>
      <c r="Q145">
        <v>3360846.8789453502</v>
      </c>
      <c r="R145">
        <v>7211</v>
      </c>
      <c r="S145">
        <v>6062</v>
      </c>
      <c r="T145">
        <v>4819</v>
      </c>
      <c r="U145">
        <v>3127</v>
      </c>
      <c r="V145">
        <v>1978</v>
      </c>
      <c r="W145" s="6" t="str">
        <f>VLOOKUP(E145,Segments!$B$1:$C$12,2,0)</f>
        <v>Low</v>
      </c>
      <c r="Z145" t="s">
        <v>2390</v>
      </c>
    </row>
    <row r="146" spans="1:26" x14ac:dyDescent="0.35">
      <c r="A146" s="1">
        <v>44287</v>
      </c>
      <c r="B146">
        <v>24866757</v>
      </c>
      <c r="C146">
        <v>3090305</v>
      </c>
      <c r="D146" t="s">
        <v>31</v>
      </c>
      <c r="E146" t="s">
        <v>32</v>
      </c>
      <c r="F146">
        <v>7508578.7262776904</v>
      </c>
      <c r="G146">
        <v>12811655.871401301</v>
      </c>
      <c r="H146">
        <v>6590991.7589086201</v>
      </c>
      <c r="I146">
        <v>3123088.5485509499</v>
      </c>
      <c r="J146">
        <v>4.1457577395763003</v>
      </c>
      <c r="K146">
        <v>2.1327965229673498</v>
      </c>
      <c r="L146">
        <v>1.0106085155190001</v>
      </c>
      <c r="M146">
        <v>6538204.9899944896</v>
      </c>
      <c r="N146">
        <v>3068311.0100008198</v>
      </c>
      <c r="O146">
        <v>8870109</v>
      </c>
      <c r="P146">
        <v>15497069</v>
      </c>
      <c r="Q146">
        <v>1038441127.53813</v>
      </c>
      <c r="R146">
        <v>2380917</v>
      </c>
      <c r="S146">
        <v>2167884</v>
      </c>
      <c r="T146">
        <v>2005323</v>
      </c>
      <c r="U146">
        <v>1423906</v>
      </c>
      <c r="V146">
        <v>0</v>
      </c>
      <c r="W146" s="6" t="str">
        <f>VLOOKUP(E146,Segments!$B$1:$C$12,2,0)</f>
        <v>Low</v>
      </c>
      <c r="Z146" t="s">
        <v>2390</v>
      </c>
    </row>
    <row r="147" spans="1:26" x14ac:dyDescent="0.35">
      <c r="A147" s="1">
        <v>44287</v>
      </c>
      <c r="B147">
        <v>24866757</v>
      </c>
      <c r="C147">
        <v>1215367</v>
      </c>
      <c r="D147" t="s">
        <v>31</v>
      </c>
      <c r="E147" t="s">
        <v>33</v>
      </c>
      <c r="F147">
        <v>17668521.8615539</v>
      </c>
      <c r="G147">
        <v>27965740.581564698</v>
      </c>
      <c r="H147">
        <v>16572148.5928452</v>
      </c>
      <c r="I147">
        <v>8467676.4102714509</v>
      </c>
      <c r="J147">
        <v>23.010120055559099</v>
      </c>
      <c r="K147">
        <v>13.635509761944499</v>
      </c>
      <c r="L147">
        <v>6.9671765074018399</v>
      </c>
      <c r="M147">
        <v>11569070.5600024</v>
      </c>
      <c r="N147">
        <v>7874999.5800005998</v>
      </c>
      <c r="O147">
        <v>15900098</v>
      </c>
      <c r="P147">
        <v>19684114</v>
      </c>
      <c r="Q147">
        <v>666784951.67289603</v>
      </c>
      <c r="R147">
        <v>733711</v>
      </c>
      <c r="S147">
        <v>665007</v>
      </c>
      <c r="T147">
        <v>622559</v>
      </c>
      <c r="U147">
        <v>458784</v>
      </c>
      <c r="V147">
        <v>0</v>
      </c>
      <c r="W147" s="6" t="str">
        <f>VLOOKUP(E147,Segments!$B$1:$C$12,2,0)</f>
        <v>Low</v>
      </c>
      <c r="Z147" t="s">
        <v>2390</v>
      </c>
    </row>
    <row r="148" spans="1:26" x14ac:dyDescent="0.35">
      <c r="A148" s="1">
        <v>44287</v>
      </c>
      <c r="B148">
        <v>24866757</v>
      </c>
      <c r="C148">
        <v>73394</v>
      </c>
      <c r="D148" t="s">
        <v>31</v>
      </c>
      <c r="E148" t="s">
        <v>34</v>
      </c>
      <c r="F148">
        <v>8180512.8273417903</v>
      </c>
      <c r="G148">
        <v>12559208.315112401</v>
      </c>
      <c r="H148">
        <v>9014215.8620848097</v>
      </c>
      <c r="I148">
        <v>2968114.3048283099</v>
      </c>
      <c r="J148">
        <v>171.12036835589299</v>
      </c>
      <c r="K148">
        <v>122.819520152666</v>
      </c>
      <c r="L148">
        <v>40.440830378890801</v>
      </c>
      <c r="M148">
        <v>5162758.29999993</v>
      </c>
      <c r="N148">
        <v>3744558.4609000199</v>
      </c>
      <c r="O148">
        <v>7438607</v>
      </c>
      <c r="P148">
        <v>7502983</v>
      </c>
      <c r="Q148">
        <v>240117623.38959101</v>
      </c>
      <c r="R148">
        <v>13852</v>
      </c>
      <c r="S148">
        <v>11847</v>
      </c>
      <c r="T148">
        <v>10552</v>
      </c>
      <c r="U148">
        <v>9172</v>
      </c>
      <c r="V148">
        <v>0</v>
      </c>
      <c r="W148" s="6" t="str">
        <f>VLOOKUP(E148,Segments!$B$1:$C$12,2,0)</f>
        <v>Medium</v>
      </c>
      <c r="Z148" t="s">
        <v>2391</v>
      </c>
    </row>
    <row r="149" spans="1:26" x14ac:dyDescent="0.35">
      <c r="A149" s="1">
        <v>44287</v>
      </c>
      <c r="B149">
        <v>24866757</v>
      </c>
      <c r="C149">
        <v>46769</v>
      </c>
      <c r="D149" t="s">
        <v>31</v>
      </c>
      <c r="E149" t="s">
        <v>35</v>
      </c>
      <c r="F149">
        <v>6389108.3389386795</v>
      </c>
      <c r="G149">
        <v>9710413.1322002094</v>
      </c>
      <c r="H149">
        <v>7095337.2765311198</v>
      </c>
      <c r="I149">
        <v>2361574.6080847499</v>
      </c>
      <c r="J149">
        <v>207.62498946311001</v>
      </c>
      <c r="K149">
        <v>151.71026270673099</v>
      </c>
      <c r="L149">
        <v>50.494443073077399</v>
      </c>
      <c r="M149">
        <v>3872358.74999998</v>
      </c>
      <c r="N149">
        <v>3007234.87</v>
      </c>
      <c r="O149">
        <v>5697010</v>
      </c>
      <c r="P149">
        <v>5528277</v>
      </c>
      <c r="Q149">
        <v>183320504.12676901</v>
      </c>
      <c r="R149">
        <v>8109</v>
      </c>
      <c r="S149">
        <v>6933</v>
      </c>
      <c r="T149">
        <v>6240</v>
      </c>
      <c r="U149">
        <v>5432</v>
      </c>
      <c r="V149">
        <v>0</v>
      </c>
      <c r="W149" s="6" t="str">
        <f>VLOOKUP(E149,Segments!$B$1:$C$12,2,0)</f>
        <v>High</v>
      </c>
      <c r="Z149" t="s">
        <v>2392</v>
      </c>
    </row>
    <row r="150" spans="1:26" x14ac:dyDescent="0.35">
      <c r="A150" s="1">
        <v>44287</v>
      </c>
      <c r="B150">
        <v>24866757</v>
      </c>
      <c r="C150">
        <v>52132</v>
      </c>
      <c r="D150" t="s">
        <v>31</v>
      </c>
      <c r="E150" t="s">
        <v>36</v>
      </c>
      <c r="F150">
        <v>8958342.8723771591</v>
      </c>
      <c r="G150">
        <v>13464892.5832735</v>
      </c>
      <c r="H150">
        <v>10060386.474789901</v>
      </c>
      <c r="I150">
        <v>3349749.55906806</v>
      </c>
      <c r="J150">
        <v>258.28459647190903</v>
      </c>
      <c r="K150">
        <v>192.97910064432401</v>
      </c>
      <c r="L150">
        <v>64.255151520525999</v>
      </c>
      <c r="M150">
        <v>5242872.9599999599</v>
      </c>
      <c r="N150">
        <v>4359831.4300000099</v>
      </c>
      <c r="O150">
        <v>7813642</v>
      </c>
      <c r="P150">
        <v>7085479</v>
      </c>
      <c r="Q150">
        <v>247742616.63916999</v>
      </c>
      <c r="R150">
        <v>8012</v>
      </c>
      <c r="S150">
        <v>7004</v>
      </c>
      <c r="T150">
        <v>6343</v>
      </c>
      <c r="U150">
        <v>5485</v>
      </c>
      <c r="V150">
        <v>0</v>
      </c>
      <c r="W150" s="6" t="str">
        <f>VLOOKUP(E150,Segments!$B$1:$C$12,2,0)</f>
        <v>High</v>
      </c>
      <c r="Z150" t="s">
        <v>2392</v>
      </c>
    </row>
    <row r="151" spans="1:26" x14ac:dyDescent="0.35">
      <c r="A151" s="1">
        <v>44287</v>
      </c>
      <c r="B151">
        <v>24866757</v>
      </c>
      <c r="C151">
        <v>42093</v>
      </c>
      <c r="D151" t="s">
        <v>31</v>
      </c>
      <c r="E151" t="s">
        <v>37</v>
      </c>
      <c r="F151">
        <v>10127407.3450047</v>
      </c>
      <c r="G151">
        <v>14908437.7128403</v>
      </c>
      <c r="H151">
        <v>11624216.2233424</v>
      </c>
      <c r="I151">
        <v>3849568.09883158</v>
      </c>
      <c r="J151">
        <v>354.17855018269802</v>
      </c>
      <c r="K151">
        <v>276.15556561286797</v>
      </c>
      <c r="L151">
        <v>91.453878289301898</v>
      </c>
      <c r="M151">
        <v>5664973.8599999603</v>
      </c>
      <c r="N151">
        <v>5167019.4500000104</v>
      </c>
      <c r="O151">
        <v>8450159</v>
      </c>
      <c r="P151">
        <v>7112176</v>
      </c>
      <c r="Q151">
        <v>261458300.79828301</v>
      </c>
      <c r="R151">
        <v>5710</v>
      </c>
      <c r="S151">
        <v>5052</v>
      </c>
      <c r="T151">
        <v>4589</v>
      </c>
      <c r="U151">
        <v>4099</v>
      </c>
      <c r="V151">
        <v>0</v>
      </c>
      <c r="W151" s="6" t="str">
        <f>VLOOKUP(E151,Segments!$B$1:$C$12,2,0)</f>
        <v>High</v>
      </c>
      <c r="Z151" t="s">
        <v>2392</v>
      </c>
    </row>
    <row r="152" spans="1:26" x14ac:dyDescent="0.35">
      <c r="A152" s="1">
        <v>44287</v>
      </c>
      <c r="B152">
        <v>24866757</v>
      </c>
      <c r="C152">
        <v>549597</v>
      </c>
      <c r="D152" t="s">
        <v>31</v>
      </c>
      <c r="E152" t="s">
        <v>38</v>
      </c>
      <c r="F152">
        <v>19509109.854399201</v>
      </c>
      <c r="G152">
        <v>32752873.898189802</v>
      </c>
      <c r="H152">
        <v>19045509.4268906</v>
      </c>
      <c r="I152">
        <v>6728946.2381219296</v>
      </c>
      <c r="J152">
        <v>59.594346217664601</v>
      </c>
      <c r="K152">
        <v>34.653590588905402</v>
      </c>
      <c r="L152">
        <v>12.2434187925369</v>
      </c>
      <c r="M152">
        <v>14776971.8900024</v>
      </c>
      <c r="N152">
        <v>9254108.3700000402</v>
      </c>
      <c r="O152">
        <v>18125096</v>
      </c>
      <c r="P152">
        <v>23814792</v>
      </c>
      <c r="Q152">
        <v>620983648.72003901</v>
      </c>
      <c r="R152">
        <v>187261</v>
      </c>
      <c r="S152">
        <v>155617</v>
      </c>
      <c r="T152">
        <v>137538</v>
      </c>
      <c r="U152">
        <v>112226</v>
      </c>
      <c r="V152">
        <v>0</v>
      </c>
      <c r="W152" s="6" t="str">
        <f>VLOOKUP(E152,Segments!$B$1:$C$12,2,0)</f>
        <v>Medium</v>
      </c>
      <c r="Z152" t="s">
        <v>2391</v>
      </c>
    </row>
    <row r="153" spans="1:26" x14ac:dyDescent="0.35">
      <c r="A153" s="1">
        <v>44287</v>
      </c>
      <c r="B153">
        <v>24866757</v>
      </c>
      <c r="C153">
        <v>22178</v>
      </c>
      <c r="D153" t="s">
        <v>31</v>
      </c>
      <c r="E153" t="s">
        <v>39</v>
      </c>
      <c r="F153">
        <v>8320106.3396346597</v>
      </c>
      <c r="G153">
        <v>11996062.9103703</v>
      </c>
      <c r="H153">
        <v>9618587.3505926505</v>
      </c>
      <c r="I153">
        <v>3345668.7579410598</v>
      </c>
      <c r="J153">
        <v>540.89922041528996</v>
      </c>
      <c r="K153">
        <v>433.69949276727601</v>
      </c>
      <c r="L153">
        <v>150.855296146679</v>
      </c>
      <c r="M153">
        <v>4395544.7799999798</v>
      </c>
      <c r="N153">
        <v>4697774.0599999996</v>
      </c>
      <c r="O153">
        <v>6258158</v>
      </c>
      <c r="P153">
        <v>4898473</v>
      </c>
      <c r="Q153">
        <v>191263682.86850399</v>
      </c>
      <c r="R153">
        <v>2380</v>
      </c>
      <c r="S153">
        <v>2089</v>
      </c>
      <c r="T153">
        <v>1899</v>
      </c>
      <c r="U153">
        <v>1685</v>
      </c>
      <c r="V153">
        <v>0</v>
      </c>
      <c r="W153" s="6" t="str">
        <f>VLOOKUP(E153,Segments!$B$1:$C$12,2,0)</f>
        <v>VHigh</v>
      </c>
      <c r="Z153" t="s">
        <v>2393</v>
      </c>
    </row>
    <row r="154" spans="1:26" x14ac:dyDescent="0.35">
      <c r="A154" s="1">
        <v>44287</v>
      </c>
      <c r="B154">
        <v>24866757</v>
      </c>
      <c r="C154">
        <v>242149</v>
      </c>
      <c r="D154" t="s">
        <v>31</v>
      </c>
      <c r="E154" t="s">
        <v>40</v>
      </c>
      <c r="F154">
        <v>14786820.080210101</v>
      </c>
      <c r="G154">
        <v>23837047.597343199</v>
      </c>
      <c r="H154">
        <v>15399104.189899299</v>
      </c>
      <c r="I154">
        <v>5124308.4533888297</v>
      </c>
      <c r="J154">
        <v>98.439587185341495</v>
      </c>
      <c r="K154">
        <v>63.593507261641797</v>
      </c>
      <c r="L154">
        <v>21.161798947709102</v>
      </c>
      <c r="M154">
        <v>10226997.4799999</v>
      </c>
      <c r="N154">
        <v>6851888.1009001099</v>
      </c>
      <c r="O154">
        <v>13551559</v>
      </c>
      <c r="P154">
        <v>16095580</v>
      </c>
      <c r="Q154">
        <v>461224183.33296502</v>
      </c>
      <c r="R154">
        <v>62330</v>
      </c>
      <c r="S154">
        <v>52100</v>
      </c>
      <c r="T154">
        <v>46308</v>
      </c>
      <c r="U154">
        <v>38927</v>
      </c>
      <c r="V154">
        <v>0</v>
      </c>
      <c r="W154" s="6" t="str">
        <f>VLOOKUP(E154,Segments!$B$1:$C$12,2,0)</f>
        <v>Medium</v>
      </c>
      <c r="Z154" t="s">
        <v>2391</v>
      </c>
    </row>
    <row r="155" spans="1:26" x14ac:dyDescent="0.35">
      <c r="A155" s="1">
        <v>44287</v>
      </c>
      <c r="B155">
        <v>24866757</v>
      </c>
      <c r="C155">
        <v>126789</v>
      </c>
      <c r="D155" t="s">
        <v>31</v>
      </c>
      <c r="E155" t="s">
        <v>41</v>
      </c>
      <c r="F155">
        <v>10937544.208987899</v>
      </c>
      <c r="G155">
        <v>17174269.806418698</v>
      </c>
      <c r="H155">
        <v>11785026.317004399</v>
      </c>
      <c r="I155">
        <v>3853336.5035408898</v>
      </c>
      <c r="J155">
        <v>135.455519062527</v>
      </c>
      <c r="K155">
        <v>92.949911404021194</v>
      </c>
      <c r="L155">
        <v>30.391725650812699</v>
      </c>
      <c r="M155">
        <v>7155610.3099997696</v>
      </c>
      <c r="N155">
        <v>5054938.9009000296</v>
      </c>
      <c r="O155">
        <v>10032947</v>
      </c>
      <c r="P155">
        <v>10896968</v>
      </c>
      <c r="Q155">
        <v>332549288.38379699</v>
      </c>
      <c r="R155">
        <v>26877</v>
      </c>
      <c r="S155">
        <v>22688</v>
      </c>
      <c r="T155">
        <v>20115</v>
      </c>
      <c r="U155">
        <v>17187</v>
      </c>
      <c r="V155">
        <v>0</v>
      </c>
      <c r="W155" s="6" t="str">
        <f>VLOOKUP(E155,Segments!$B$1:$C$12,2,0)</f>
        <v>Medium</v>
      </c>
      <c r="Z155" t="s">
        <v>2391</v>
      </c>
    </row>
    <row r="156" spans="1:26" x14ac:dyDescent="0.35">
      <c r="A156" s="1">
        <v>44287</v>
      </c>
      <c r="B156">
        <v>24866757</v>
      </c>
      <c r="C156">
        <v>9873</v>
      </c>
      <c r="D156" t="s">
        <v>31</v>
      </c>
      <c r="E156" t="s">
        <v>42</v>
      </c>
      <c r="F156">
        <v>7941731.6555586401</v>
      </c>
      <c r="G156">
        <v>10642589.5113186</v>
      </c>
      <c r="H156">
        <v>9643798.7430866398</v>
      </c>
      <c r="I156">
        <v>3538806.7122706398</v>
      </c>
      <c r="J156">
        <v>1077.94890218967</v>
      </c>
      <c r="K156">
        <v>976.78504437219101</v>
      </c>
      <c r="L156">
        <v>358.43276737269701</v>
      </c>
      <c r="M156">
        <v>3459536.1099999901</v>
      </c>
      <c r="N156">
        <v>4926135.6899999902</v>
      </c>
      <c r="O156">
        <v>4226322</v>
      </c>
      <c r="P156">
        <v>3467367</v>
      </c>
      <c r="Q156">
        <v>150650636.22136399</v>
      </c>
      <c r="R156">
        <v>773</v>
      </c>
      <c r="S156">
        <v>693</v>
      </c>
      <c r="T156">
        <v>633</v>
      </c>
      <c r="U156">
        <v>527</v>
      </c>
      <c r="V156">
        <v>0</v>
      </c>
      <c r="W156" s="6" t="str">
        <f>VLOOKUP(E156,Segments!$B$1:$C$12,2,0)</f>
        <v>VHigh</v>
      </c>
      <c r="Z156" t="s">
        <v>2393</v>
      </c>
    </row>
    <row r="157" spans="1:26" x14ac:dyDescent="0.35">
      <c r="A157" s="1">
        <v>44287</v>
      </c>
      <c r="B157">
        <v>24866757</v>
      </c>
      <c r="C157">
        <v>86115</v>
      </c>
      <c r="D157" t="s">
        <v>31</v>
      </c>
      <c r="E157" t="s">
        <v>43</v>
      </c>
      <c r="F157">
        <v>-177441.13084585301</v>
      </c>
      <c r="G157">
        <v>-257911.31543013599</v>
      </c>
      <c r="H157">
        <v>-185036.90999702501</v>
      </c>
      <c r="I157">
        <v>-89375.167110403607</v>
      </c>
      <c r="J157">
        <v>-2.9949638904968401</v>
      </c>
      <c r="K157">
        <v>-2.14871869008913</v>
      </c>
      <c r="L157">
        <v>-1.0378582954236</v>
      </c>
      <c r="M157">
        <v>42069.229999999799</v>
      </c>
      <c r="N157">
        <v>10654.89</v>
      </c>
      <c r="O157">
        <v>316092</v>
      </c>
      <c r="P157">
        <v>145488</v>
      </c>
      <c r="Q157">
        <v>435975425.37522298</v>
      </c>
      <c r="R157">
        <v>32476</v>
      </c>
      <c r="S157">
        <v>30620</v>
      </c>
      <c r="T157">
        <v>29186</v>
      </c>
      <c r="U157">
        <v>23082</v>
      </c>
      <c r="V157">
        <v>0</v>
      </c>
      <c r="W157" s="6" t="str">
        <f>VLOOKUP(E157,Segments!$B$1:$C$12,2,0)</f>
        <v>Low</v>
      </c>
      <c r="Z157" t="s">
        <v>2390</v>
      </c>
    </row>
    <row r="158" spans="1:26" x14ac:dyDescent="0.35">
      <c r="A158" s="1">
        <v>44287</v>
      </c>
      <c r="B158">
        <v>24866757</v>
      </c>
      <c r="C158">
        <v>1017304</v>
      </c>
      <c r="D158" t="s">
        <v>44</v>
      </c>
      <c r="E158" t="s">
        <v>32</v>
      </c>
      <c r="F158">
        <v>2900096.0161916502</v>
      </c>
      <c r="G158">
        <v>2371502.6986700501</v>
      </c>
      <c r="H158">
        <v>2593532.56182819</v>
      </c>
      <c r="I158">
        <v>3735252.78807778</v>
      </c>
      <c r="J158">
        <v>2.3311642327859299</v>
      </c>
      <c r="K158">
        <v>2.5494174424048199</v>
      </c>
      <c r="L158">
        <v>3.6717173903550702</v>
      </c>
      <c r="M158">
        <v>870621.59000001405</v>
      </c>
      <c r="N158">
        <v>389609.919999993</v>
      </c>
      <c r="O158">
        <v>1349452</v>
      </c>
      <c r="P158">
        <v>14167995</v>
      </c>
      <c r="Q158">
        <v>820031226.28462696</v>
      </c>
      <c r="R158">
        <v>732598</v>
      </c>
      <c r="S158">
        <v>607483</v>
      </c>
      <c r="T158">
        <v>490740</v>
      </c>
      <c r="U158">
        <v>273388</v>
      </c>
      <c r="V158">
        <v>0</v>
      </c>
      <c r="W158" s="6" t="str">
        <f>VLOOKUP(E158,Segments!$B$1:$C$12,2,0)</f>
        <v>Low</v>
      </c>
      <c r="Z158" t="s">
        <v>2390</v>
      </c>
    </row>
    <row r="159" spans="1:26" x14ac:dyDescent="0.35">
      <c r="A159" s="1">
        <v>44287</v>
      </c>
      <c r="B159">
        <v>24866757</v>
      </c>
      <c r="C159">
        <v>500796</v>
      </c>
      <c r="D159" t="s">
        <v>44</v>
      </c>
      <c r="E159" t="s">
        <v>33</v>
      </c>
      <c r="F159">
        <v>8418495.4283352401</v>
      </c>
      <c r="G159">
        <v>7600915.8796449602</v>
      </c>
      <c r="H159">
        <v>7945642.9233045997</v>
      </c>
      <c r="I159">
        <v>9708927.48205732</v>
      </c>
      <c r="J159">
        <v>15.1776689103846</v>
      </c>
      <c r="K159">
        <v>15.866027131415899</v>
      </c>
      <c r="L159">
        <v>19.386990874642201</v>
      </c>
      <c r="M159">
        <v>3006978.3899997999</v>
      </c>
      <c r="N159">
        <v>1782134.1100000399</v>
      </c>
      <c r="O159">
        <v>5202690</v>
      </c>
      <c r="P159">
        <v>17820885</v>
      </c>
      <c r="Q159">
        <v>138602208.22857699</v>
      </c>
      <c r="R159">
        <v>216700</v>
      </c>
      <c r="S159">
        <v>158739</v>
      </c>
      <c r="T159">
        <v>124364</v>
      </c>
      <c r="U159">
        <v>80446</v>
      </c>
      <c r="V159">
        <v>0</v>
      </c>
      <c r="W159" s="6" t="str">
        <f>VLOOKUP(E159,Segments!$B$1:$C$12,2,0)</f>
        <v>Low</v>
      </c>
      <c r="Z159" t="s">
        <v>2390</v>
      </c>
    </row>
    <row r="160" spans="1:26" x14ac:dyDescent="0.35">
      <c r="A160" s="1">
        <v>44287</v>
      </c>
      <c r="B160">
        <v>24866757</v>
      </c>
      <c r="C160">
        <v>159191</v>
      </c>
      <c r="D160" t="s">
        <v>44</v>
      </c>
      <c r="E160" t="s">
        <v>34</v>
      </c>
      <c r="F160">
        <v>17794270.3740848</v>
      </c>
      <c r="G160">
        <v>17567542.3113054</v>
      </c>
      <c r="H160">
        <v>18801753.365967799</v>
      </c>
      <c r="I160">
        <v>17013515.444981501</v>
      </c>
      <c r="J160">
        <v>110.355122533971</v>
      </c>
      <c r="K160">
        <v>118.108142834505</v>
      </c>
      <c r="L160">
        <v>106.874857529518</v>
      </c>
      <c r="M160">
        <v>5704854.3399998797</v>
      </c>
      <c r="N160">
        <v>5940141.3300000504</v>
      </c>
      <c r="O160">
        <v>9138331</v>
      </c>
      <c r="P160">
        <v>19261425</v>
      </c>
      <c r="Q160">
        <v>260195523.17420399</v>
      </c>
      <c r="R160">
        <v>15904</v>
      </c>
      <c r="S160">
        <v>11403</v>
      </c>
      <c r="T160">
        <v>9213</v>
      </c>
      <c r="U160">
        <v>7427</v>
      </c>
      <c r="V160">
        <v>0</v>
      </c>
      <c r="W160" s="6" t="str">
        <f>VLOOKUP(E160,Segments!$B$1:$C$12,2,0)</f>
        <v>Medium</v>
      </c>
      <c r="Z160" t="s">
        <v>2391</v>
      </c>
    </row>
    <row r="161" spans="1:26" x14ac:dyDescent="0.35">
      <c r="A161" s="1">
        <v>44287</v>
      </c>
      <c r="B161">
        <v>24866757</v>
      </c>
      <c r="C161">
        <v>114969</v>
      </c>
      <c r="D161" t="s">
        <v>44</v>
      </c>
      <c r="E161" t="s">
        <v>35</v>
      </c>
      <c r="F161">
        <v>15736025.1607526</v>
      </c>
      <c r="G161">
        <v>15612570.4947899</v>
      </c>
      <c r="H161">
        <v>16670869.281980701</v>
      </c>
      <c r="I161">
        <v>14924635.705487199</v>
      </c>
      <c r="J161">
        <v>135.798089004774</v>
      </c>
      <c r="K161">
        <v>145.003168523521</v>
      </c>
      <c r="L161">
        <v>129.814434373502</v>
      </c>
      <c r="M161">
        <v>4923004.8999999501</v>
      </c>
      <c r="N161">
        <v>5345512.2909000199</v>
      </c>
      <c r="O161">
        <v>8168658</v>
      </c>
      <c r="P161">
        <v>15835326</v>
      </c>
      <c r="Q161">
        <v>229108630.72723299</v>
      </c>
      <c r="R161">
        <v>9551</v>
      </c>
      <c r="S161">
        <v>6900</v>
      </c>
      <c r="T161">
        <v>5584</v>
      </c>
      <c r="U161">
        <v>4553</v>
      </c>
      <c r="V161">
        <v>0</v>
      </c>
      <c r="W161" s="6" t="str">
        <f>VLOOKUP(E161,Segments!$B$1:$C$12,2,0)</f>
        <v>High</v>
      </c>
      <c r="Z161" t="s">
        <v>2392</v>
      </c>
    </row>
    <row r="162" spans="1:26" x14ac:dyDescent="0.35">
      <c r="A162" s="1">
        <v>44287</v>
      </c>
      <c r="B162">
        <v>24866757</v>
      </c>
      <c r="C162">
        <v>150190</v>
      </c>
      <c r="D162" t="s">
        <v>44</v>
      </c>
      <c r="E162" t="s">
        <v>36</v>
      </c>
      <c r="F162">
        <v>25938446.784595799</v>
      </c>
      <c r="G162">
        <v>25981154.1599379</v>
      </c>
      <c r="H162">
        <v>27496918.7354999</v>
      </c>
      <c r="I162">
        <v>24337267.4583496</v>
      </c>
      <c r="J162">
        <v>172.988575537239</v>
      </c>
      <c r="K162">
        <v>183.080889110459</v>
      </c>
      <c r="L162">
        <v>162.04319500865299</v>
      </c>
      <c r="M162">
        <v>7894028.7399998698</v>
      </c>
      <c r="N162">
        <v>9112701.9636000097</v>
      </c>
      <c r="O162">
        <v>13888914</v>
      </c>
      <c r="P162">
        <v>23519433</v>
      </c>
      <c r="Q162">
        <v>373660679.87136501</v>
      </c>
      <c r="R162">
        <v>9895</v>
      </c>
      <c r="S162">
        <v>7315</v>
      </c>
      <c r="T162">
        <v>5932</v>
      </c>
      <c r="U162">
        <v>4836</v>
      </c>
      <c r="V162">
        <v>0</v>
      </c>
      <c r="W162" s="6" t="str">
        <f>VLOOKUP(E162,Segments!$B$1:$C$12,2,0)</f>
        <v>High</v>
      </c>
      <c r="Z162" t="s">
        <v>2392</v>
      </c>
    </row>
    <row r="163" spans="1:26" x14ac:dyDescent="0.35">
      <c r="A163" s="1">
        <v>44287</v>
      </c>
      <c r="B163">
        <v>24866757</v>
      </c>
      <c r="C163">
        <v>150227</v>
      </c>
      <c r="D163" t="s">
        <v>44</v>
      </c>
      <c r="E163" t="s">
        <v>37</v>
      </c>
      <c r="F163">
        <v>36483006.890437298</v>
      </c>
      <c r="G163">
        <v>36655222.155405901</v>
      </c>
      <c r="H163">
        <v>38782599.254391797</v>
      </c>
      <c r="I163">
        <v>34011199.261514597</v>
      </c>
      <c r="J163">
        <v>243.99889604003201</v>
      </c>
      <c r="K163">
        <v>258.15997959349397</v>
      </c>
      <c r="L163">
        <v>226.39871169306801</v>
      </c>
      <c r="M163">
        <v>10737049.92</v>
      </c>
      <c r="N163">
        <v>13231840.212699899</v>
      </c>
      <c r="O163">
        <v>19550271</v>
      </c>
      <c r="P163">
        <v>28538172</v>
      </c>
      <c r="Q163">
        <v>507516113.41965199</v>
      </c>
      <c r="R163">
        <v>7728</v>
      </c>
      <c r="S163">
        <v>5875</v>
      </c>
      <c r="T163">
        <v>4858</v>
      </c>
      <c r="U163">
        <v>4018</v>
      </c>
      <c r="V163">
        <v>0</v>
      </c>
      <c r="W163" s="6" t="str">
        <f>VLOOKUP(E163,Segments!$B$1:$C$12,2,0)</f>
        <v>High</v>
      </c>
      <c r="Z163" t="s">
        <v>2392</v>
      </c>
    </row>
    <row r="164" spans="1:26" x14ac:dyDescent="0.35">
      <c r="A164" s="1">
        <v>44287</v>
      </c>
      <c r="B164">
        <v>24866757</v>
      </c>
      <c r="C164">
        <v>521608</v>
      </c>
      <c r="D164" t="s">
        <v>44</v>
      </c>
      <c r="E164" t="s">
        <v>38</v>
      </c>
      <c r="F164">
        <v>19042987.881572701</v>
      </c>
      <c r="G164">
        <v>17969454.5935224</v>
      </c>
      <c r="H164">
        <v>19179897.3130983</v>
      </c>
      <c r="I164">
        <v>19979611.7380981</v>
      </c>
      <c r="J164">
        <v>34.450113099343703</v>
      </c>
      <c r="K164">
        <v>36.770711555609502</v>
      </c>
      <c r="L164">
        <v>38.303882873917097</v>
      </c>
      <c r="M164">
        <v>6818997.6299991803</v>
      </c>
      <c r="N164">
        <v>5078758.1400001403</v>
      </c>
      <c r="O164">
        <v>10610700</v>
      </c>
      <c r="P164">
        <v>30300711</v>
      </c>
      <c r="Q164">
        <v>281695252.30373502</v>
      </c>
      <c r="R164">
        <v>138918</v>
      </c>
      <c r="S164">
        <v>97671</v>
      </c>
      <c r="T164">
        <v>76258</v>
      </c>
      <c r="U164">
        <v>55208</v>
      </c>
      <c r="V164">
        <v>0</v>
      </c>
      <c r="W164" s="6" t="str">
        <f>VLOOKUP(E164,Segments!$B$1:$C$12,2,0)</f>
        <v>Medium</v>
      </c>
      <c r="Z164" t="s">
        <v>2391</v>
      </c>
    </row>
    <row r="165" spans="1:26" x14ac:dyDescent="0.35">
      <c r="A165" s="1">
        <v>44287</v>
      </c>
      <c r="B165">
        <v>24866757</v>
      </c>
      <c r="C165">
        <v>106478</v>
      </c>
      <c r="D165" t="s">
        <v>44</v>
      </c>
      <c r="E165" t="s">
        <v>39</v>
      </c>
      <c r="F165">
        <v>40417610.7888726</v>
      </c>
      <c r="G165">
        <v>40854707.276033998</v>
      </c>
      <c r="H165">
        <v>43120335.276677802</v>
      </c>
      <c r="I165">
        <v>37277789.813906297</v>
      </c>
      <c r="J165">
        <v>383.69153511555402</v>
      </c>
      <c r="K165">
        <v>404.96943290330199</v>
      </c>
      <c r="L165">
        <v>350.09851625599902</v>
      </c>
      <c r="M165">
        <v>11512019.640000001</v>
      </c>
      <c r="N165">
        <v>15522625.9099999</v>
      </c>
      <c r="O165">
        <v>21824886</v>
      </c>
      <c r="P165">
        <v>25162753</v>
      </c>
      <c r="Q165">
        <v>498597800.86681002</v>
      </c>
      <c r="R165">
        <v>3853</v>
      </c>
      <c r="S165">
        <v>2998</v>
      </c>
      <c r="T165">
        <v>2480</v>
      </c>
      <c r="U165">
        <v>2053</v>
      </c>
      <c r="V165">
        <v>0</v>
      </c>
      <c r="W165" s="6" t="str">
        <f>VLOOKUP(E165,Segments!$B$1:$C$12,2,0)</f>
        <v>VHigh</v>
      </c>
      <c r="Z165" t="s">
        <v>2393</v>
      </c>
    </row>
    <row r="166" spans="1:26" x14ac:dyDescent="0.35">
      <c r="A166" s="1">
        <v>44287</v>
      </c>
      <c r="B166">
        <v>24866757</v>
      </c>
      <c r="C166">
        <v>338584</v>
      </c>
      <c r="D166" t="s">
        <v>44</v>
      </c>
      <c r="E166" t="s">
        <v>40</v>
      </c>
      <c r="F166">
        <v>20873168.145949598</v>
      </c>
      <c r="G166">
        <v>20188958.254170701</v>
      </c>
      <c r="H166">
        <v>21674144.976916298</v>
      </c>
      <c r="I166">
        <v>20756401.206762299</v>
      </c>
      <c r="J166">
        <v>59.627620484638101</v>
      </c>
      <c r="K166">
        <v>64.0140850628393</v>
      </c>
      <c r="L166">
        <v>61.303550099125502</v>
      </c>
      <c r="M166">
        <v>7138535.6399995899</v>
      </c>
      <c r="N166">
        <v>6397405.4009000901</v>
      </c>
      <c r="O166">
        <v>10793498</v>
      </c>
      <c r="P166">
        <v>27668959</v>
      </c>
      <c r="Q166">
        <v>310836519.36063403</v>
      </c>
      <c r="R166">
        <v>57565</v>
      </c>
      <c r="S166">
        <v>40219</v>
      </c>
      <c r="T166">
        <v>31742</v>
      </c>
      <c r="U166">
        <v>24315</v>
      </c>
      <c r="V166">
        <v>0</v>
      </c>
      <c r="W166" s="6" t="str">
        <f>VLOOKUP(E166,Segments!$B$1:$C$12,2,0)</f>
        <v>Medium</v>
      </c>
      <c r="Z166" t="s">
        <v>2391</v>
      </c>
    </row>
    <row r="167" spans="1:26" x14ac:dyDescent="0.35">
      <c r="A167" s="1">
        <v>44287</v>
      </c>
      <c r="B167">
        <v>24866757</v>
      </c>
      <c r="C167">
        <v>228550</v>
      </c>
      <c r="D167" t="s">
        <v>44</v>
      </c>
      <c r="E167" t="s">
        <v>41</v>
      </c>
      <c r="F167">
        <v>19823528.7824343</v>
      </c>
      <c r="G167">
        <v>19385032.969103701</v>
      </c>
      <c r="H167">
        <v>20837253.480347998</v>
      </c>
      <c r="I167">
        <v>19248299.897851001</v>
      </c>
      <c r="J167">
        <v>84.817470877723494</v>
      </c>
      <c r="K167">
        <v>91.171531307582896</v>
      </c>
      <c r="L167">
        <v>84.219207603811</v>
      </c>
      <c r="M167">
        <v>6562354.2299997797</v>
      </c>
      <c r="N167">
        <v>6387990.4118000604</v>
      </c>
      <c r="O167">
        <v>10122142</v>
      </c>
      <c r="P167">
        <v>23451465</v>
      </c>
      <c r="Q167">
        <v>290769002.124937</v>
      </c>
      <c r="R167">
        <v>28487</v>
      </c>
      <c r="S167">
        <v>20138</v>
      </c>
      <c r="T167">
        <v>16089</v>
      </c>
      <c r="U167">
        <v>12685</v>
      </c>
      <c r="V167">
        <v>0</v>
      </c>
      <c r="W167" s="6" t="str">
        <f>VLOOKUP(E167,Segments!$B$1:$C$12,2,0)</f>
        <v>Medium</v>
      </c>
      <c r="Z167" t="s">
        <v>2391</v>
      </c>
    </row>
    <row r="168" spans="1:26" x14ac:dyDescent="0.35">
      <c r="A168" s="1">
        <v>44287</v>
      </c>
      <c r="B168">
        <v>24866757</v>
      </c>
      <c r="C168">
        <v>70335</v>
      </c>
      <c r="D168" t="s">
        <v>44</v>
      </c>
      <c r="E168" t="s">
        <v>42</v>
      </c>
      <c r="F168">
        <v>57669260.151524</v>
      </c>
      <c r="G168">
        <v>58668258.409171402</v>
      </c>
      <c r="H168">
        <v>61801807.323815897</v>
      </c>
      <c r="I168">
        <v>52537714.7215854</v>
      </c>
      <c r="J168">
        <v>834.126088137789</v>
      </c>
      <c r="K168">
        <v>878.677860578886</v>
      </c>
      <c r="L168">
        <v>746.96402532999798</v>
      </c>
      <c r="M168">
        <v>17086159.440000098</v>
      </c>
      <c r="N168">
        <v>26057002.2717999</v>
      </c>
      <c r="O168">
        <v>26615440</v>
      </c>
      <c r="P168">
        <v>23725783</v>
      </c>
      <c r="Q168">
        <v>628408421.53329396</v>
      </c>
      <c r="R168">
        <v>1504</v>
      </c>
      <c r="S168">
        <v>1207</v>
      </c>
      <c r="T168">
        <v>1017</v>
      </c>
      <c r="U168">
        <v>872</v>
      </c>
      <c r="V168">
        <v>0</v>
      </c>
      <c r="W168" s="6" t="str">
        <f>VLOOKUP(E168,Segments!$B$1:$C$12,2,0)</f>
        <v>VHigh</v>
      </c>
      <c r="Z168" t="s">
        <v>2393</v>
      </c>
    </row>
    <row r="169" spans="1:26" x14ac:dyDescent="0.35">
      <c r="A169" s="1">
        <v>44287</v>
      </c>
      <c r="B169">
        <v>24866757</v>
      </c>
      <c r="C169">
        <v>21920</v>
      </c>
      <c r="D169" t="s">
        <v>44</v>
      </c>
      <c r="E169" t="s">
        <v>43</v>
      </c>
      <c r="F169">
        <v>-82615.392538422399</v>
      </c>
      <c r="G169">
        <v>-89960.707590333099</v>
      </c>
      <c r="H169">
        <v>-91325.8663487554</v>
      </c>
      <c r="I169">
        <v>-66559.603676178405</v>
      </c>
      <c r="J169">
        <v>-4.1040468791210296</v>
      </c>
      <c r="K169">
        <v>-4.1663260195600103</v>
      </c>
      <c r="L169">
        <v>-3.0364782698986499</v>
      </c>
      <c r="M169">
        <v>14678.8199999999</v>
      </c>
      <c r="N169">
        <v>7165.41</v>
      </c>
      <c r="O169">
        <v>38292</v>
      </c>
      <c r="P169">
        <v>86030</v>
      </c>
      <c r="Q169">
        <v>1201030363.8560801</v>
      </c>
      <c r="R169">
        <v>8466</v>
      </c>
      <c r="S169">
        <v>7585</v>
      </c>
      <c r="T169">
        <v>5428</v>
      </c>
      <c r="U169">
        <v>3943</v>
      </c>
      <c r="V169">
        <v>0</v>
      </c>
      <c r="W169" s="6" t="str">
        <f>VLOOKUP(E169,Segments!$B$1:$C$12,2,0)</f>
        <v>Low</v>
      </c>
      <c r="Z169" t="s">
        <v>2390</v>
      </c>
    </row>
    <row r="170" spans="1:26" x14ac:dyDescent="0.35">
      <c r="A170" s="1">
        <v>44287</v>
      </c>
      <c r="B170">
        <v>24866757</v>
      </c>
      <c r="C170">
        <v>1474701</v>
      </c>
      <c r="D170" t="s">
        <v>45</v>
      </c>
      <c r="E170" t="s">
        <v>32</v>
      </c>
      <c r="F170">
        <v>3943461.1031541498</v>
      </c>
      <c r="G170">
        <v>2601345.67653151</v>
      </c>
      <c r="H170">
        <v>3253457.03407933</v>
      </c>
      <c r="I170">
        <v>5975580.5988568496</v>
      </c>
      <c r="J170">
        <v>1.7639817675118601</v>
      </c>
      <c r="K170">
        <v>2.2061808014501398</v>
      </c>
      <c r="L170">
        <v>4.0520624851117901</v>
      </c>
      <c r="M170">
        <v>1014396.4499999901</v>
      </c>
      <c r="N170">
        <v>573982.60999998997</v>
      </c>
      <c r="O170">
        <v>1560063</v>
      </c>
      <c r="P170">
        <v>7100129</v>
      </c>
      <c r="Q170">
        <v>897121306.436481</v>
      </c>
      <c r="R170">
        <v>1250835</v>
      </c>
      <c r="S170">
        <v>1126330</v>
      </c>
      <c r="T170">
        <v>911308</v>
      </c>
      <c r="U170">
        <v>426647</v>
      </c>
      <c r="V170">
        <v>0</v>
      </c>
      <c r="W170" s="6" t="str">
        <f>VLOOKUP(E170,Segments!$B$1:$C$12,2,0)</f>
        <v>Low</v>
      </c>
      <c r="Z170" t="s">
        <v>2390</v>
      </c>
    </row>
    <row r="171" spans="1:26" x14ac:dyDescent="0.35">
      <c r="A171" s="1">
        <v>44287</v>
      </c>
      <c r="B171">
        <v>24866757</v>
      </c>
      <c r="C171">
        <v>602256</v>
      </c>
      <c r="D171" t="s">
        <v>45</v>
      </c>
      <c r="E171" t="s">
        <v>33</v>
      </c>
      <c r="F171">
        <v>9855553.8010603692</v>
      </c>
      <c r="G171">
        <v>7388413.3825955</v>
      </c>
      <c r="H171">
        <v>8804309.9132121895</v>
      </c>
      <c r="I171">
        <v>13373938.107376801</v>
      </c>
      <c r="J171">
        <v>12.2678950190541</v>
      </c>
      <c r="K171">
        <v>14.6188828558157</v>
      </c>
      <c r="L171">
        <v>22.2064007787001</v>
      </c>
      <c r="M171">
        <v>2950607.6699997298</v>
      </c>
      <c r="N171">
        <v>1898464.8900000399</v>
      </c>
      <c r="O171">
        <v>4618987</v>
      </c>
      <c r="P171">
        <v>10424068</v>
      </c>
      <c r="Q171">
        <v>162546502.33805001</v>
      </c>
      <c r="R171">
        <v>373862</v>
      </c>
      <c r="S171">
        <v>313215</v>
      </c>
      <c r="T171">
        <v>272592</v>
      </c>
      <c r="U171">
        <v>163178</v>
      </c>
      <c r="V171">
        <v>0</v>
      </c>
      <c r="W171" s="6" t="str">
        <f>VLOOKUP(E171,Segments!$B$1:$C$12,2,0)</f>
        <v>Low</v>
      </c>
      <c r="Z171" t="s">
        <v>2390</v>
      </c>
    </row>
    <row r="172" spans="1:26" x14ac:dyDescent="0.35">
      <c r="A172" s="1">
        <v>44287</v>
      </c>
      <c r="B172">
        <v>24866757</v>
      </c>
      <c r="C172">
        <v>115686</v>
      </c>
      <c r="D172" t="s">
        <v>45</v>
      </c>
      <c r="E172" t="s">
        <v>34</v>
      </c>
      <c r="F172">
        <v>12915270.4711673</v>
      </c>
      <c r="G172">
        <v>11929302.480100101</v>
      </c>
      <c r="H172">
        <v>13734548.636332801</v>
      </c>
      <c r="I172">
        <v>13081960.297069</v>
      </c>
      <c r="J172">
        <v>103.117944090902</v>
      </c>
      <c r="K172">
        <v>118.722651283066</v>
      </c>
      <c r="L172">
        <v>113.081620049695</v>
      </c>
      <c r="M172">
        <v>4390774.6199999396</v>
      </c>
      <c r="N172">
        <v>3821152.7109000199</v>
      </c>
      <c r="O172">
        <v>7063285</v>
      </c>
      <c r="P172">
        <v>10011082</v>
      </c>
      <c r="Q172">
        <v>219078804.57221401</v>
      </c>
      <c r="R172">
        <v>24554</v>
      </c>
      <c r="S172">
        <v>19981</v>
      </c>
      <c r="T172">
        <v>17441</v>
      </c>
      <c r="U172">
        <v>14126</v>
      </c>
      <c r="V172">
        <v>0</v>
      </c>
      <c r="W172" s="6" t="str">
        <f>VLOOKUP(E172,Segments!$B$1:$C$12,2,0)</f>
        <v>Medium</v>
      </c>
      <c r="Z172" t="s">
        <v>2391</v>
      </c>
    </row>
    <row r="173" spans="1:26" x14ac:dyDescent="0.35">
      <c r="A173" s="1">
        <v>44287</v>
      </c>
      <c r="B173">
        <v>24866757</v>
      </c>
      <c r="C173">
        <v>79711</v>
      </c>
      <c r="D173" t="s">
        <v>45</v>
      </c>
      <c r="E173" t="s">
        <v>35</v>
      </c>
      <c r="F173">
        <v>10899487.211206701</v>
      </c>
      <c r="G173">
        <v>10211384.2292173</v>
      </c>
      <c r="H173">
        <v>11640290.7763336</v>
      </c>
      <c r="I173">
        <v>10846786.6280692</v>
      </c>
      <c r="J173">
        <v>128.10508247566</v>
      </c>
      <c r="K173">
        <v>146.03117231415601</v>
      </c>
      <c r="L173">
        <v>136.07640887793599</v>
      </c>
      <c r="M173">
        <v>3708517.81999997</v>
      </c>
      <c r="N173">
        <v>3304121.6300000101</v>
      </c>
      <c r="O173">
        <v>6047404</v>
      </c>
      <c r="P173">
        <v>7835341</v>
      </c>
      <c r="Q173">
        <v>189716233.649093</v>
      </c>
      <c r="R173">
        <v>15099</v>
      </c>
      <c r="S173">
        <v>12462</v>
      </c>
      <c r="T173">
        <v>10969</v>
      </c>
      <c r="U173">
        <v>9019</v>
      </c>
      <c r="V173">
        <v>0</v>
      </c>
      <c r="W173" s="6" t="str">
        <f>VLOOKUP(E173,Segments!$B$1:$C$12,2,0)</f>
        <v>High</v>
      </c>
      <c r="Z173" t="s">
        <v>2392</v>
      </c>
    </row>
    <row r="174" spans="1:26" x14ac:dyDescent="0.35">
      <c r="A174" s="1">
        <v>44287</v>
      </c>
      <c r="B174">
        <v>24866757</v>
      </c>
      <c r="C174">
        <v>97170</v>
      </c>
      <c r="D174" t="s">
        <v>45</v>
      </c>
      <c r="E174" t="s">
        <v>36</v>
      </c>
      <c r="F174">
        <v>16751772.972780799</v>
      </c>
      <c r="G174">
        <v>15910148.6595689</v>
      </c>
      <c r="H174">
        <v>17931791.5153987</v>
      </c>
      <c r="I174">
        <v>16413378.743375</v>
      </c>
      <c r="J174">
        <v>163.735192544705</v>
      </c>
      <c r="K174">
        <v>184.540408720785</v>
      </c>
      <c r="L174">
        <v>168.91405519579101</v>
      </c>
      <c r="M174">
        <v>5659846.9399999296</v>
      </c>
      <c r="N174">
        <v>5224125.6709000198</v>
      </c>
      <c r="O174">
        <v>9618840</v>
      </c>
      <c r="P174">
        <v>11277943</v>
      </c>
      <c r="Q174">
        <v>288646082.39614397</v>
      </c>
      <c r="R174">
        <v>16121</v>
      </c>
      <c r="S174">
        <v>13364</v>
      </c>
      <c r="T174">
        <v>11801</v>
      </c>
      <c r="U174">
        <v>9728</v>
      </c>
      <c r="V174">
        <v>0</v>
      </c>
      <c r="W174" s="6" t="str">
        <f>VLOOKUP(E174,Segments!$B$1:$C$12,2,0)</f>
        <v>High</v>
      </c>
      <c r="Z174" t="s">
        <v>2392</v>
      </c>
    </row>
    <row r="175" spans="1:26" x14ac:dyDescent="0.35">
      <c r="A175" s="1">
        <v>44287</v>
      </c>
      <c r="B175">
        <v>24866757</v>
      </c>
      <c r="C175">
        <v>86998</v>
      </c>
      <c r="D175" t="s">
        <v>45</v>
      </c>
      <c r="E175" t="s">
        <v>37</v>
      </c>
      <c r="F175">
        <v>21038180.204773799</v>
      </c>
      <c r="G175">
        <v>20445419.026972201</v>
      </c>
      <c r="H175">
        <v>22579082.4652806</v>
      </c>
      <c r="I175">
        <v>20090039.122068401</v>
      </c>
      <c r="J175">
        <v>235.01021893574799</v>
      </c>
      <c r="K175">
        <v>259.53564984575098</v>
      </c>
      <c r="L175">
        <v>230.92529853638399</v>
      </c>
      <c r="M175">
        <v>7136332.37999993</v>
      </c>
      <c r="N175">
        <v>6985404.4218000202</v>
      </c>
      <c r="O175">
        <v>12240452</v>
      </c>
      <c r="P175">
        <v>12507931</v>
      </c>
      <c r="Q175">
        <v>354833671.693385</v>
      </c>
      <c r="R175">
        <v>11571</v>
      </c>
      <c r="S175">
        <v>9579</v>
      </c>
      <c r="T175">
        <v>8526</v>
      </c>
      <c r="U175">
        <v>7154</v>
      </c>
      <c r="V175">
        <v>0</v>
      </c>
      <c r="W175" s="6" t="str">
        <f>VLOOKUP(E175,Segments!$B$1:$C$12,2,0)</f>
        <v>High</v>
      </c>
      <c r="Z175" t="s">
        <v>2392</v>
      </c>
    </row>
    <row r="176" spans="1:26" x14ac:dyDescent="0.35">
      <c r="A176" s="1">
        <v>44287</v>
      </c>
      <c r="B176">
        <v>24866757</v>
      </c>
      <c r="C176">
        <v>506995</v>
      </c>
      <c r="D176" t="s">
        <v>45</v>
      </c>
      <c r="E176" t="s">
        <v>38</v>
      </c>
      <c r="F176">
        <v>18334328.285480902</v>
      </c>
      <c r="G176">
        <v>15132281.8529278</v>
      </c>
      <c r="H176">
        <v>18175787.295508198</v>
      </c>
      <c r="I176">
        <v>21694915.708009198</v>
      </c>
      <c r="J176">
        <v>29.8470041182415</v>
      </c>
      <c r="K176">
        <v>35.850032634460398</v>
      </c>
      <c r="L176">
        <v>42.7911827690791</v>
      </c>
      <c r="M176">
        <v>5986921.0899992604</v>
      </c>
      <c r="N176">
        <v>4346728.8100001505</v>
      </c>
      <c r="O176">
        <v>8870306</v>
      </c>
      <c r="P176">
        <v>17505308</v>
      </c>
      <c r="Q176">
        <v>298284019.53569698</v>
      </c>
      <c r="R176">
        <v>221992</v>
      </c>
      <c r="S176">
        <v>179222</v>
      </c>
      <c r="T176">
        <v>154132</v>
      </c>
      <c r="U176">
        <v>110348</v>
      </c>
      <c r="V176">
        <v>0</v>
      </c>
      <c r="W176" s="6" t="str">
        <f>VLOOKUP(E176,Segments!$B$1:$C$12,2,0)</f>
        <v>Medium</v>
      </c>
      <c r="Z176" t="s">
        <v>2391</v>
      </c>
    </row>
    <row r="177" spans="1:26" x14ac:dyDescent="0.35">
      <c r="A177" s="1">
        <v>44287</v>
      </c>
      <c r="B177">
        <v>24866757</v>
      </c>
      <c r="C177">
        <v>53853</v>
      </c>
      <c r="D177" t="s">
        <v>45</v>
      </c>
      <c r="E177" t="s">
        <v>39</v>
      </c>
      <c r="F177">
        <v>20312253.216574501</v>
      </c>
      <c r="G177">
        <v>19989942.504409499</v>
      </c>
      <c r="H177">
        <v>21941810.615918498</v>
      </c>
      <c r="I177">
        <v>19005006.529395498</v>
      </c>
      <c r="J177">
        <v>371.19459462628902</v>
      </c>
      <c r="K177">
        <v>407.43896562714298</v>
      </c>
      <c r="L177">
        <v>352.90525187817701</v>
      </c>
      <c r="M177">
        <v>6825612.5099999802</v>
      </c>
      <c r="N177">
        <v>7293541.0708999997</v>
      </c>
      <c r="O177">
        <v>11580304</v>
      </c>
      <c r="P177">
        <v>10260812</v>
      </c>
      <c r="Q177">
        <v>309665152.81689101</v>
      </c>
      <c r="R177">
        <v>5680</v>
      </c>
      <c r="S177">
        <v>4839</v>
      </c>
      <c r="T177">
        <v>4329</v>
      </c>
      <c r="U177">
        <v>3721</v>
      </c>
      <c r="V177">
        <v>0</v>
      </c>
      <c r="W177" s="6" t="str">
        <f>VLOOKUP(E177,Segments!$B$1:$C$12,2,0)</f>
        <v>VHigh</v>
      </c>
      <c r="Z177" t="s">
        <v>2393</v>
      </c>
    </row>
    <row r="178" spans="1:26" x14ac:dyDescent="0.35">
      <c r="A178" s="1">
        <v>44287</v>
      </c>
      <c r="B178">
        <v>24866757</v>
      </c>
      <c r="C178">
        <v>286587</v>
      </c>
      <c r="D178" t="s">
        <v>45</v>
      </c>
      <c r="E178" t="s">
        <v>40</v>
      </c>
      <c r="F178">
        <v>17608638.493165899</v>
      </c>
      <c r="G178">
        <v>15381084.8784205</v>
      </c>
      <c r="H178">
        <v>18192295.7843064</v>
      </c>
      <c r="I178">
        <v>19252534.8167721</v>
      </c>
      <c r="J178">
        <v>53.669862479528099</v>
      </c>
      <c r="K178">
        <v>63.479138217387501</v>
      </c>
      <c r="L178">
        <v>67.178674597145502</v>
      </c>
      <c r="M178">
        <v>5893172.2699996904</v>
      </c>
      <c r="N178">
        <v>4754001.2200000603</v>
      </c>
      <c r="O178">
        <v>8825708</v>
      </c>
      <c r="P178">
        <v>15549738</v>
      </c>
      <c r="Q178">
        <v>293966336.88244599</v>
      </c>
      <c r="R178">
        <v>90597</v>
      </c>
      <c r="S178">
        <v>72871</v>
      </c>
      <c r="T178">
        <v>63145</v>
      </c>
      <c r="U178">
        <v>48502</v>
      </c>
      <c r="V178">
        <v>0</v>
      </c>
      <c r="W178" s="6" t="str">
        <f>VLOOKUP(E178,Segments!$B$1:$C$12,2,0)</f>
        <v>Medium</v>
      </c>
      <c r="Z178" t="s">
        <v>2391</v>
      </c>
    </row>
    <row r="179" spans="1:26" x14ac:dyDescent="0.35">
      <c r="A179" s="1">
        <v>44287</v>
      </c>
      <c r="B179">
        <v>24866757</v>
      </c>
      <c r="C179">
        <v>176363</v>
      </c>
      <c r="D179" t="s">
        <v>45</v>
      </c>
      <c r="E179" t="s">
        <v>41</v>
      </c>
      <c r="F179">
        <v>15269205.460808801</v>
      </c>
      <c r="G179">
        <v>13791610.366048601</v>
      </c>
      <c r="H179">
        <v>16063351.8598885</v>
      </c>
      <c r="I179">
        <v>15952654.156489501</v>
      </c>
      <c r="J179">
        <v>78.200134756432107</v>
      </c>
      <c r="K179">
        <v>91.081189704691695</v>
      </c>
      <c r="L179">
        <v>90.453520049497797</v>
      </c>
      <c r="M179">
        <v>5182517.9899998698</v>
      </c>
      <c r="N179">
        <v>4356700.5809000405</v>
      </c>
      <c r="O179">
        <v>7969888</v>
      </c>
      <c r="P179">
        <v>12571976</v>
      </c>
      <c r="Q179">
        <v>258279548.999731</v>
      </c>
      <c r="R179">
        <v>44642</v>
      </c>
      <c r="S179">
        <v>36145</v>
      </c>
      <c r="T179">
        <v>31455</v>
      </c>
      <c r="U179">
        <v>25025</v>
      </c>
      <c r="V179">
        <v>0</v>
      </c>
      <c r="W179" s="6" t="str">
        <f>VLOOKUP(E179,Segments!$B$1:$C$12,2,0)</f>
        <v>Medium</v>
      </c>
      <c r="Z179" t="s">
        <v>2391</v>
      </c>
    </row>
    <row r="180" spans="1:26" x14ac:dyDescent="0.35">
      <c r="A180" s="1">
        <v>44287</v>
      </c>
      <c r="B180">
        <v>24866757</v>
      </c>
      <c r="C180">
        <v>28759</v>
      </c>
      <c r="D180" t="s">
        <v>45</v>
      </c>
      <c r="E180" t="s">
        <v>42</v>
      </c>
      <c r="F180">
        <v>22847255.801305301</v>
      </c>
      <c r="G180">
        <v>22714563.5263316</v>
      </c>
      <c r="H180">
        <v>24515701.363670401</v>
      </c>
      <c r="I180">
        <v>21311502.5139139</v>
      </c>
      <c r="J180">
        <v>789.82452541227701</v>
      </c>
      <c r="K180">
        <v>852.45319251957505</v>
      </c>
      <c r="L180">
        <v>741.03767564636803</v>
      </c>
      <c r="M180">
        <v>7951404.1799999597</v>
      </c>
      <c r="N180">
        <v>9811075.3799999896</v>
      </c>
      <c r="O180">
        <v>10950153</v>
      </c>
      <c r="P180">
        <v>8997638</v>
      </c>
      <c r="Q180">
        <v>310906004.49943203</v>
      </c>
      <c r="R180">
        <v>1986</v>
      </c>
      <c r="S180">
        <v>1743</v>
      </c>
      <c r="T180">
        <v>1544</v>
      </c>
      <c r="U180">
        <v>1339</v>
      </c>
      <c r="V180">
        <v>0</v>
      </c>
      <c r="W180" s="6" t="str">
        <f>VLOOKUP(E180,Segments!$B$1:$C$12,2,0)</f>
        <v>VHigh</v>
      </c>
      <c r="Z180" t="s">
        <v>2393</v>
      </c>
    </row>
    <row r="181" spans="1:26" x14ac:dyDescent="0.35">
      <c r="A181" s="1">
        <v>44287</v>
      </c>
      <c r="B181">
        <v>24866757</v>
      </c>
      <c r="C181">
        <v>23910</v>
      </c>
      <c r="D181" t="s">
        <v>45</v>
      </c>
      <c r="E181" t="s">
        <v>43</v>
      </c>
      <c r="F181">
        <v>-126922.292987045</v>
      </c>
      <c r="G181">
        <v>-130868.778662336</v>
      </c>
      <c r="H181">
        <v>-139770.58961757499</v>
      </c>
      <c r="I181">
        <v>-110127.51068122601</v>
      </c>
      <c r="J181">
        <v>-5.4733909938242098</v>
      </c>
      <c r="K181">
        <v>-5.8456959271256901</v>
      </c>
      <c r="L181">
        <v>-4.6059184726568896</v>
      </c>
      <c r="M181">
        <v>14034.0899999999</v>
      </c>
      <c r="N181">
        <v>6082.4</v>
      </c>
      <c r="O181">
        <v>88085</v>
      </c>
      <c r="P181">
        <v>159707</v>
      </c>
      <c r="Q181">
        <v>1106403104.79144</v>
      </c>
      <c r="R181">
        <v>14063</v>
      </c>
      <c r="S181">
        <v>13036</v>
      </c>
      <c r="T181">
        <v>9402</v>
      </c>
      <c r="U181">
        <v>5501</v>
      </c>
      <c r="V181">
        <v>0</v>
      </c>
      <c r="W181" s="6" t="str">
        <f>VLOOKUP(E181,Segments!$B$1:$C$12,2,0)</f>
        <v>Low</v>
      </c>
      <c r="Z181" t="s">
        <v>2390</v>
      </c>
    </row>
    <row r="182" spans="1:26" x14ac:dyDescent="0.35">
      <c r="A182" s="1">
        <v>44287</v>
      </c>
      <c r="B182">
        <v>24866757</v>
      </c>
      <c r="C182">
        <v>776301</v>
      </c>
      <c r="D182" t="s">
        <v>46</v>
      </c>
      <c r="E182" t="s">
        <v>32</v>
      </c>
      <c r="F182">
        <v>2116631.07408662</v>
      </c>
      <c r="G182">
        <v>1499969.6971082401</v>
      </c>
      <c r="H182">
        <v>1800310.15898112</v>
      </c>
      <c r="I182">
        <v>3049613.3661705698</v>
      </c>
      <c r="J182">
        <v>1.93220116566672</v>
      </c>
      <c r="K182">
        <v>2.3190877752071999</v>
      </c>
      <c r="L182">
        <v>3.92839036169033</v>
      </c>
      <c r="M182">
        <v>584924.15000001702</v>
      </c>
      <c r="N182">
        <v>266377.73</v>
      </c>
      <c r="O182">
        <v>937889</v>
      </c>
      <c r="P182">
        <v>9023467</v>
      </c>
      <c r="Q182">
        <v>347770150.13928097</v>
      </c>
      <c r="R182">
        <v>609179</v>
      </c>
      <c r="S182">
        <v>527017</v>
      </c>
      <c r="T182">
        <v>439677</v>
      </c>
      <c r="U182">
        <v>232582</v>
      </c>
      <c r="V182">
        <v>0</v>
      </c>
      <c r="W182" s="6" t="str">
        <f>VLOOKUP(E182,Segments!$B$1:$C$12,2,0)</f>
        <v>Low</v>
      </c>
      <c r="Z182" t="s">
        <v>2390</v>
      </c>
    </row>
    <row r="183" spans="1:26" x14ac:dyDescent="0.35">
      <c r="A183" s="1">
        <v>44287</v>
      </c>
      <c r="B183">
        <v>24866757</v>
      </c>
      <c r="C183">
        <v>329398</v>
      </c>
      <c r="D183" t="s">
        <v>46</v>
      </c>
      <c r="E183" t="s">
        <v>33</v>
      </c>
      <c r="F183">
        <v>5465384.6171129895</v>
      </c>
      <c r="G183">
        <v>4439657.3471430698</v>
      </c>
      <c r="H183">
        <v>4995142.2780536702</v>
      </c>
      <c r="I183">
        <v>6961354.22614324</v>
      </c>
      <c r="J183">
        <v>13.4780944242013</v>
      </c>
      <c r="K183">
        <v>15.1644584303902</v>
      </c>
      <c r="L183">
        <v>21.1335655533526</v>
      </c>
      <c r="M183">
        <v>1727781.1699999301</v>
      </c>
      <c r="N183">
        <v>1095932.9609000001</v>
      </c>
      <c r="O183">
        <v>3094509</v>
      </c>
      <c r="P183">
        <v>7804099</v>
      </c>
      <c r="Q183">
        <v>89298964.879193306</v>
      </c>
      <c r="R183">
        <v>180957</v>
      </c>
      <c r="S183">
        <v>143365</v>
      </c>
      <c r="T183">
        <v>119545</v>
      </c>
      <c r="U183">
        <v>77916</v>
      </c>
      <c r="V183">
        <v>0</v>
      </c>
      <c r="W183" s="6" t="str">
        <f>VLOOKUP(E183,Segments!$B$1:$C$12,2,0)</f>
        <v>Low</v>
      </c>
      <c r="Z183" t="s">
        <v>2390</v>
      </c>
    </row>
    <row r="184" spans="1:26" x14ac:dyDescent="0.35">
      <c r="A184" s="1">
        <v>44287</v>
      </c>
      <c r="B184">
        <v>24866757</v>
      </c>
      <c r="C184">
        <v>72117</v>
      </c>
      <c r="D184" t="s">
        <v>46</v>
      </c>
      <c r="E184" t="s">
        <v>34</v>
      </c>
      <c r="F184">
        <v>8054053.70380776</v>
      </c>
      <c r="G184">
        <v>7647108.7302174401</v>
      </c>
      <c r="H184">
        <v>8466379.0617332496</v>
      </c>
      <c r="I184">
        <v>8048673.3194725597</v>
      </c>
      <c r="J184">
        <v>106.037532484954</v>
      </c>
      <c r="K184">
        <v>117.397826611385</v>
      </c>
      <c r="L184">
        <v>111.60577006077</v>
      </c>
      <c r="M184">
        <v>2627015.6899999799</v>
      </c>
      <c r="N184">
        <v>2471292.8609000002</v>
      </c>
      <c r="O184">
        <v>4889822</v>
      </c>
      <c r="P184">
        <v>7275672</v>
      </c>
      <c r="Q184">
        <v>132571685.205502</v>
      </c>
      <c r="R184">
        <v>11717</v>
      </c>
      <c r="S184">
        <v>9136</v>
      </c>
      <c r="T184">
        <v>7747</v>
      </c>
      <c r="U184">
        <v>6435</v>
      </c>
      <c r="V184">
        <v>0</v>
      </c>
      <c r="W184" s="6" t="str">
        <f>VLOOKUP(E184,Segments!$B$1:$C$12,2,0)</f>
        <v>Medium</v>
      </c>
      <c r="Z184" t="s">
        <v>2391</v>
      </c>
    </row>
    <row r="185" spans="1:26" x14ac:dyDescent="0.35">
      <c r="A185" s="1">
        <v>44287</v>
      </c>
      <c r="B185">
        <v>24866757</v>
      </c>
      <c r="C185">
        <v>50018</v>
      </c>
      <c r="D185" t="s">
        <v>46</v>
      </c>
      <c r="E185" t="s">
        <v>35</v>
      </c>
      <c r="F185">
        <v>6841698.7387829404</v>
      </c>
      <c r="G185">
        <v>6555572.0938923201</v>
      </c>
      <c r="H185">
        <v>7233587.8190790797</v>
      </c>
      <c r="I185">
        <v>6735936.3033774197</v>
      </c>
      <c r="J185">
        <v>131.06425874469801</v>
      </c>
      <c r="K185">
        <v>144.61969329199599</v>
      </c>
      <c r="L185">
        <v>134.67024477942701</v>
      </c>
      <c r="M185">
        <v>2223711.8199999798</v>
      </c>
      <c r="N185">
        <v>2137269.66</v>
      </c>
      <c r="O185">
        <v>4377414</v>
      </c>
      <c r="P185">
        <v>5849610</v>
      </c>
      <c r="Q185">
        <v>112662876.738213</v>
      </c>
      <c r="R185">
        <v>7102</v>
      </c>
      <c r="S185">
        <v>5592</v>
      </c>
      <c r="T185">
        <v>4752</v>
      </c>
      <c r="U185">
        <v>3953</v>
      </c>
      <c r="V185">
        <v>0</v>
      </c>
      <c r="W185" s="6" t="str">
        <f>VLOOKUP(E185,Segments!$B$1:$C$12,2,0)</f>
        <v>High</v>
      </c>
      <c r="Z185" t="s">
        <v>2392</v>
      </c>
    </row>
    <row r="186" spans="1:26" x14ac:dyDescent="0.35">
      <c r="A186" s="1">
        <v>44287</v>
      </c>
      <c r="B186">
        <v>24866757</v>
      </c>
      <c r="C186">
        <v>61813</v>
      </c>
      <c r="D186" t="s">
        <v>46</v>
      </c>
      <c r="E186" t="s">
        <v>36</v>
      </c>
      <c r="F186">
        <v>10663833.840314301</v>
      </c>
      <c r="G186">
        <v>10362572.121921999</v>
      </c>
      <c r="H186">
        <v>11317291.291962201</v>
      </c>
      <c r="I186">
        <v>10311638.107058801</v>
      </c>
      <c r="J186">
        <v>167.64389565175699</v>
      </c>
      <c r="K186">
        <v>183.089176903924</v>
      </c>
      <c r="L186">
        <v>166.81989398765401</v>
      </c>
      <c r="M186">
        <v>3417696.8099999698</v>
      </c>
      <c r="N186">
        <v>3455260.05</v>
      </c>
      <c r="O186">
        <v>6912120</v>
      </c>
      <c r="P186">
        <v>8277900</v>
      </c>
      <c r="Q186">
        <v>174021213.40667099</v>
      </c>
      <c r="R186">
        <v>7432</v>
      </c>
      <c r="S186">
        <v>5853</v>
      </c>
      <c r="T186">
        <v>5006</v>
      </c>
      <c r="U186">
        <v>4216</v>
      </c>
      <c r="V186">
        <v>0</v>
      </c>
      <c r="W186" s="6" t="str">
        <f>VLOOKUP(E186,Segments!$B$1:$C$12,2,0)</f>
        <v>High</v>
      </c>
      <c r="Z186" t="s">
        <v>2392</v>
      </c>
    </row>
    <row r="187" spans="1:26" x14ac:dyDescent="0.35">
      <c r="A187" s="1">
        <v>44287</v>
      </c>
      <c r="B187">
        <v>24866757</v>
      </c>
      <c r="C187">
        <v>58043</v>
      </c>
      <c r="D187" t="s">
        <v>46</v>
      </c>
      <c r="E187" t="s">
        <v>37</v>
      </c>
      <c r="F187">
        <v>14046853.480978901</v>
      </c>
      <c r="G187">
        <v>13771290.746489801</v>
      </c>
      <c r="H187">
        <v>14953977.434662901</v>
      </c>
      <c r="I187">
        <v>13415292.261784101</v>
      </c>
      <c r="J187">
        <v>237.26014758868101</v>
      </c>
      <c r="K187">
        <v>257.63619100775202</v>
      </c>
      <c r="L187">
        <v>231.126789824512</v>
      </c>
      <c r="M187">
        <v>4421322.4099999797</v>
      </c>
      <c r="N187">
        <v>4729919.1900000097</v>
      </c>
      <c r="O187">
        <v>9149596</v>
      </c>
      <c r="P187">
        <v>9570144</v>
      </c>
      <c r="Q187">
        <v>225957829.326031</v>
      </c>
      <c r="R187">
        <v>5596</v>
      </c>
      <c r="S187">
        <v>4471</v>
      </c>
      <c r="T187">
        <v>3854</v>
      </c>
      <c r="U187">
        <v>3291</v>
      </c>
      <c r="V187">
        <v>0</v>
      </c>
      <c r="W187" s="6" t="str">
        <f>VLOOKUP(E187,Segments!$B$1:$C$12,2,0)</f>
        <v>High</v>
      </c>
      <c r="Z187" t="s">
        <v>2392</v>
      </c>
    </row>
    <row r="188" spans="1:26" x14ac:dyDescent="0.35">
      <c r="A188" s="1">
        <v>44287</v>
      </c>
      <c r="B188">
        <v>24866757</v>
      </c>
      <c r="C188">
        <v>300874</v>
      </c>
      <c r="D188" t="s">
        <v>46</v>
      </c>
      <c r="E188" t="s">
        <v>38</v>
      </c>
      <c r="F188">
        <v>10913635.9237407</v>
      </c>
      <c r="G188">
        <v>9536742.5875784904</v>
      </c>
      <c r="H188">
        <v>10861988.905246601</v>
      </c>
      <c r="I188">
        <v>12342176.2783977</v>
      </c>
      <c r="J188">
        <v>31.6967986186194</v>
      </c>
      <c r="K188">
        <v>36.101454114501998</v>
      </c>
      <c r="L188">
        <v>41.021079516335</v>
      </c>
      <c r="M188">
        <v>3609453.4599998798</v>
      </c>
      <c r="N188">
        <v>2737157.23000004</v>
      </c>
      <c r="O188">
        <v>5988458</v>
      </c>
      <c r="P188">
        <v>12975093</v>
      </c>
      <c r="Q188">
        <v>171021108.20490399</v>
      </c>
      <c r="R188">
        <v>112114</v>
      </c>
      <c r="S188">
        <v>85589</v>
      </c>
      <c r="T188">
        <v>71186</v>
      </c>
      <c r="U188">
        <v>52647</v>
      </c>
      <c r="V188">
        <v>0</v>
      </c>
      <c r="W188" s="6" t="str">
        <f>VLOOKUP(E188,Segments!$B$1:$C$12,2,0)</f>
        <v>Medium</v>
      </c>
      <c r="Z188" t="s">
        <v>2391</v>
      </c>
    </row>
    <row r="189" spans="1:26" x14ac:dyDescent="0.35">
      <c r="A189" s="1">
        <v>44287</v>
      </c>
      <c r="B189">
        <v>24866757</v>
      </c>
      <c r="C189">
        <v>37098</v>
      </c>
      <c r="D189" t="s">
        <v>46</v>
      </c>
      <c r="E189" t="s">
        <v>39</v>
      </c>
      <c r="F189">
        <v>14029461.0617049</v>
      </c>
      <c r="G189">
        <v>13879824.065098399</v>
      </c>
      <c r="H189">
        <v>15032057.678784801</v>
      </c>
      <c r="I189">
        <v>13176501.4412317</v>
      </c>
      <c r="J189">
        <v>374.13941627846299</v>
      </c>
      <c r="K189">
        <v>405.19860043087999</v>
      </c>
      <c r="L189">
        <v>355.18091113353103</v>
      </c>
      <c r="M189">
        <v>4356319.6099999798</v>
      </c>
      <c r="N189">
        <v>5103992.3000000101</v>
      </c>
      <c r="O189">
        <v>8860805</v>
      </c>
      <c r="P189">
        <v>7969558</v>
      </c>
      <c r="Q189">
        <v>203938947.03373</v>
      </c>
      <c r="R189">
        <v>2682</v>
      </c>
      <c r="S189">
        <v>2191</v>
      </c>
      <c r="T189">
        <v>1889</v>
      </c>
      <c r="U189">
        <v>1623</v>
      </c>
      <c r="V189">
        <v>0</v>
      </c>
      <c r="W189" s="6" t="str">
        <f>VLOOKUP(E189,Segments!$B$1:$C$12,2,0)</f>
        <v>VHigh</v>
      </c>
      <c r="Z189" t="s">
        <v>2393</v>
      </c>
    </row>
    <row r="190" spans="1:26" x14ac:dyDescent="0.35">
      <c r="A190" s="1">
        <v>44287</v>
      </c>
      <c r="B190">
        <v>24866757</v>
      </c>
      <c r="C190">
        <v>175474</v>
      </c>
      <c r="D190" t="s">
        <v>46</v>
      </c>
      <c r="E190" t="s">
        <v>40</v>
      </c>
      <c r="F190">
        <v>10789422.6808697</v>
      </c>
      <c r="G190">
        <v>9852816.3307395391</v>
      </c>
      <c r="H190">
        <v>11129220.7241612</v>
      </c>
      <c r="I190">
        <v>11386230.9877086</v>
      </c>
      <c r="J190">
        <v>56.149722071301397</v>
      </c>
      <c r="K190">
        <v>63.423759213110003</v>
      </c>
      <c r="L190">
        <v>64.888422146349896</v>
      </c>
      <c r="M190">
        <v>3595122.1799999201</v>
      </c>
      <c r="N190">
        <v>3047015.5500000301</v>
      </c>
      <c r="O190">
        <v>6037704</v>
      </c>
      <c r="P190">
        <v>11315366</v>
      </c>
      <c r="Q190">
        <v>174332034.094964</v>
      </c>
      <c r="R190">
        <v>45040</v>
      </c>
      <c r="S190">
        <v>34404</v>
      </c>
      <c r="T190">
        <v>28902</v>
      </c>
      <c r="U190">
        <v>22925</v>
      </c>
      <c r="V190">
        <v>0</v>
      </c>
      <c r="W190" s="6" t="str">
        <f>VLOOKUP(E190,Segments!$B$1:$C$12,2,0)</f>
        <v>Medium</v>
      </c>
      <c r="Z190" t="s">
        <v>2391</v>
      </c>
    </row>
    <row r="191" spans="1:26" x14ac:dyDescent="0.35">
      <c r="A191" s="1">
        <v>44287</v>
      </c>
      <c r="B191">
        <v>24866757</v>
      </c>
      <c r="C191">
        <v>110102</v>
      </c>
      <c r="D191" t="s">
        <v>46</v>
      </c>
      <c r="E191" t="s">
        <v>41</v>
      </c>
      <c r="F191">
        <v>9529549.1277955193</v>
      </c>
      <c r="G191">
        <v>8918872.39912563</v>
      </c>
      <c r="H191">
        <v>9969536.9853337798</v>
      </c>
      <c r="I191">
        <v>9700237.9989270307</v>
      </c>
      <c r="J191">
        <v>81.005543942213905</v>
      </c>
      <c r="K191">
        <v>90.548191543602996</v>
      </c>
      <c r="L191">
        <v>88.102286960518697</v>
      </c>
      <c r="M191">
        <v>3126873.1199999698</v>
      </c>
      <c r="N191">
        <v>2834357.3300000099</v>
      </c>
      <c r="O191">
        <v>5559033</v>
      </c>
      <c r="P191">
        <v>9170875</v>
      </c>
      <c r="Q191">
        <v>155863706.69513699</v>
      </c>
      <c r="R191">
        <v>21932</v>
      </c>
      <c r="S191">
        <v>16975</v>
      </c>
      <c r="T191">
        <v>14417</v>
      </c>
      <c r="U191">
        <v>11654</v>
      </c>
      <c r="V191">
        <v>0</v>
      </c>
      <c r="W191" s="6" t="str">
        <f>VLOOKUP(E191,Segments!$B$1:$C$12,2,0)</f>
        <v>Medium</v>
      </c>
      <c r="Z191" t="s">
        <v>2391</v>
      </c>
    </row>
    <row r="192" spans="1:26" x14ac:dyDescent="0.35">
      <c r="A192" s="1">
        <v>44287</v>
      </c>
      <c r="B192">
        <v>24866757</v>
      </c>
      <c r="C192">
        <v>22050</v>
      </c>
      <c r="D192" t="s">
        <v>46</v>
      </c>
      <c r="E192" t="s">
        <v>42</v>
      </c>
      <c r="F192">
        <v>17669317.505203702</v>
      </c>
      <c r="G192">
        <v>17727730.670460802</v>
      </c>
      <c r="H192">
        <v>19049130.631631799</v>
      </c>
      <c r="I192">
        <v>16231091.213518601</v>
      </c>
      <c r="J192">
        <v>803.97871521364095</v>
      </c>
      <c r="K192">
        <v>863.90615109441501</v>
      </c>
      <c r="L192">
        <v>736.10390991014197</v>
      </c>
      <c r="M192">
        <v>5744495.2899999898</v>
      </c>
      <c r="N192">
        <v>7778060.3899999997</v>
      </c>
      <c r="O192">
        <v>9033511</v>
      </c>
      <c r="P192">
        <v>7274513</v>
      </c>
      <c r="Q192">
        <v>231007417.55861801</v>
      </c>
      <c r="R192">
        <v>1007</v>
      </c>
      <c r="S192">
        <v>841</v>
      </c>
      <c r="T192">
        <v>738</v>
      </c>
      <c r="U192">
        <v>638</v>
      </c>
      <c r="V192">
        <v>0</v>
      </c>
      <c r="W192" s="6" t="str">
        <f>VLOOKUP(E192,Segments!$B$1:$C$12,2,0)</f>
        <v>VHigh</v>
      </c>
      <c r="Z192" t="s">
        <v>2393</v>
      </c>
    </row>
    <row r="193" spans="1:26" x14ac:dyDescent="0.35">
      <c r="A193" s="1">
        <v>44287</v>
      </c>
      <c r="B193">
        <v>24866757</v>
      </c>
      <c r="C193">
        <v>15434</v>
      </c>
      <c r="D193" t="s">
        <v>46</v>
      </c>
      <c r="E193" t="s">
        <v>43</v>
      </c>
      <c r="F193">
        <v>-158578.03064212101</v>
      </c>
      <c r="G193">
        <v>-145482.21864091899</v>
      </c>
      <c r="H193">
        <v>-170475.07516399099</v>
      </c>
      <c r="I193">
        <v>-159776.79812145501</v>
      </c>
      <c r="J193">
        <v>-9.4260864740779393</v>
      </c>
      <c r="K193">
        <v>-11.0454240743806</v>
      </c>
      <c r="L193">
        <v>-10.3522611197003</v>
      </c>
      <c r="M193">
        <v>10834.54</v>
      </c>
      <c r="N193">
        <v>3542.76</v>
      </c>
      <c r="O193">
        <v>1018193</v>
      </c>
      <c r="P193">
        <v>941295</v>
      </c>
      <c r="Q193">
        <v>393794162.78824103</v>
      </c>
      <c r="R193">
        <v>6845</v>
      </c>
      <c r="S193">
        <v>5903</v>
      </c>
      <c r="T193">
        <v>4223</v>
      </c>
      <c r="U193">
        <v>2616</v>
      </c>
      <c r="V193">
        <v>0</v>
      </c>
      <c r="W193" s="6" t="str">
        <f>VLOOKUP(E193,Segments!$B$1:$C$12,2,0)</f>
        <v>Low</v>
      </c>
      <c r="Z193" t="s">
        <v>2390</v>
      </c>
    </row>
    <row r="194" spans="1:26" x14ac:dyDescent="0.35">
      <c r="A194" s="1">
        <v>44287</v>
      </c>
      <c r="B194">
        <v>24866757</v>
      </c>
      <c r="C194">
        <v>505600</v>
      </c>
      <c r="D194" t="s">
        <v>47</v>
      </c>
      <c r="E194" t="s">
        <v>32</v>
      </c>
      <c r="F194">
        <v>1391957.12273724</v>
      </c>
      <c r="G194">
        <v>1005470.83475607</v>
      </c>
      <c r="H194">
        <v>1288748.18509614</v>
      </c>
      <c r="I194">
        <v>1881652.34835927</v>
      </c>
      <c r="J194">
        <v>1.9886685814004601</v>
      </c>
      <c r="K194">
        <v>2.5489481509021799</v>
      </c>
      <c r="L194">
        <v>3.7216225244447698</v>
      </c>
      <c r="M194">
        <v>368905.37000000698</v>
      </c>
      <c r="N194">
        <v>178655.49</v>
      </c>
      <c r="O194">
        <v>625427</v>
      </c>
      <c r="P194">
        <v>4445545</v>
      </c>
      <c r="Q194">
        <v>385557486.28461802</v>
      </c>
      <c r="R194">
        <v>380708</v>
      </c>
      <c r="S194">
        <v>324788</v>
      </c>
      <c r="T194">
        <v>268522</v>
      </c>
      <c r="U194">
        <v>145920</v>
      </c>
      <c r="V194">
        <v>0</v>
      </c>
      <c r="W194" s="6" t="str">
        <f>VLOOKUP(E194,Segments!$B$1:$C$12,2,0)</f>
        <v>Low</v>
      </c>
      <c r="Z194" t="s">
        <v>2390</v>
      </c>
    </row>
    <row r="195" spans="1:26" x14ac:dyDescent="0.35">
      <c r="A195" s="1">
        <v>44287</v>
      </c>
      <c r="B195">
        <v>24866757</v>
      </c>
      <c r="C195">
        <v>215694</v>
      </c>
      <c r="D195" t="s">
        <v>47</v>
      </c>
      <c r="E195" t="s">
        <v>33</v>
      </c>
      <c r="F195">
        <v>3593115.96858169</v>
      </c>
      <c r="G195">
        <v>3054632.7177965399</v>
      </c>
      <c r="H195">
        <v>3357707.7789798598</v>
      </c>
      <c r="I195">
        <v>4367007.4089689199</v>
      </c>
      <c r="J195">
        <v>14.161880802417</v>
      </c>
      <c r="K195">
        <v>15.5669966664806</v>
      </c>
      <c r="L195">
        <v>20.246309164691301</v>
      </c>
      <c r="M195">
        <v>1130829.1199999901</v>
      </c>
      <c r="N195">
        <v>759590.08999999706</v>
      </c>
      <c r="O195">
        <v>2207689</v>
      </c>
      <c r="P195">
        <v>5720445</v>
      </c>
      <c r="Q195">
        <v>65901451.369514398</v>
      </c>
      <c r="R195">
        <v>109941</v>
      </c>
      <c r="S195">
        <v>84406</v>
      </c>
      <c r="T195">
        <v>68619</v>
      </c>
      <c r="U195">
        <v>45002</v>
      </c>
      <c r="V195">
        <v>0</v>
      </c>
      <c r="W195" s="6" t="str">
        <f>VLOOKUP(E195,Segments!$B$1:$C$12,2,0)</f>
        <v>Low</v>
      </c>
      <c r="Z195" t="s">
        <v>2390</v>
      </c>
    </row>
    <row r="196" spans="1:26" x14ac:dyDescent="0.35">
      <c r="A196" s="1">
        <v>44287</v>
      </c>
      <c r="B196">
        <v>24866757</v>
      </c>
      <c r="C196">
        <v>53111</v>
      </c>
      <c r="D196" t="s">
        <v>47</v>
      </c>
      <c r="E196" t="s">
        <v>34</v>
      </c>
      <c r="F196">
        <v>5927092.1261371896</v>
      </c>
      <c r="G196">
        <v>5789942.93461983</v>
      </c>
      <c r="H196">
        <v>6308857.8156747902</v>
      </c>
      <c r="I196">
        <v>5682475.6281169299</v>
      </c>
      <c r="J196">
        <v>109.015890015624</v>
      </c>
      <c r="K196">
        <v>118.786274324994</v>
      </c>
      <c r="L196">
        <v>106.992442773002</v>
      </c>
      <c r="M196">
        <v>1842914.0799999901</v>
      </c>
      <c r="N196">
        <v>1818546.56</v>
      </c>
      <c r="O196">
        <v>3779357</v>
      </c>
      <c r="P196">
        <v>5598508</v>
      </c>
      <c r="Q196">
        <v>112201347.526362</v>
      </c>
      <c r="R196">
        <v>6929</v>
      </c>
      <c r="S196">
        <v>5223</v>
      </c>
      <c r="T196">
        <v>4312</v>
      </c>
      <c r="U196">
        <v>3547</v>
      </c>
      <c r="V196">
        <v>0</v>
      </c>
      <c r="W196" s="6" t="str">
        <f>VLOOKUP(E196,Segments!$B$1:$C$12,2,0)</f>
        <v>Medium</v>
      </c>
      <c r="Z196" t="s">
        <v>2391</v>
      </c>
    </row>
    <row r="197" spans="1:26" x14ac:dyDescent="0.35">
      <c r="A197" s="1">
        <v>44287</v>
      </c>
      <c r="B197">
        <v>24866757</v>
      </c>
      <c r="C197">
        <v>37136</v>
      </c>
      <c r="D197" t="s">
        <v>47</v>
      </c>
      <c r="E197" t="s">
        <v>35</v>
      </c>
      <c r="F197">
        <v>5078736.1169727398</v>
      </c>
      <c r="G197">
        <v>4998100.4433209598</v>
      </c>
      <c r="H197">
        <v>5399024.2542254496</v>
      </c>
      <c r="I197">
        <v>4839083.65337181</v>
      </c>
      <c r="J197">
        <v>134.58908992139601</v>
      </c>
      <c r="K197">
        <v>145.38518564803499</v>
      </c>
      <c r="L197">
        <v>130.30707812828001</v>
      </c>
      <c r="M197">
        <v>1546329.77999999</v>
      </c>
      <c r="N197">
        <v>1588614.99</v>
      </c>
      <c r="O197">
        <v>3363355</v>
      </c>
      <c r="P197">
        <v>4513376</v>
      </c>
      <c r="Q197">
        <v>96335154.079342797</v>
      </c>
      <c r="R197">
        <v>4255</v>
      </c>
      <c r="S197">
        <v>3223</v>
      </c>
      <c r="T197">
        <v>2689</v>
      </c>
      <c r="U197">
        <v>2200</v>
      </c>
      <c r="V197">
        <v>0</v>
      </c>
      <c r="W197" s="6" t="str">
        <f>VLOOKUP(E197,Segments!$B$1:$C$12,2,0)</f>
        <v>High</v>
      </c>
      <c r="Z197" t="s">
        <v>2392</v>
      </c>
    </row>
    <row r="198" spans="1:26" x14ac:dyDescent="0.35">
      <c r="A198" s="1">
        <v>44287</v>
      </c>
      <c r="B198">
        <v>24866757</v>
      </c>
      <c r="C198">
        <v>46348</v>
      </c>
      <c r="D198" t="s">
        <v>47</v>
      </c>
      <c r="E198" t="s">
        <v>36</v>
      </c>
      <c r="F198">
        <v>7992734.5402789898</v>
      </c>
      <c r="G198">
        <v>7945971.8414415196</v>
      </c>
      <c r="H198">
        <v>8540024.0018237699</v>
      </c>
      <c r="I198">
        <v>7492207.7775716903</v>
      </c>
      <c r="J198">
        <v>171.441525879035</v>
      </c>
      <c r="K198">
        <v>184.258738280481</v>
      </c>
      <c r="L198">
        <v>161.651155984545</v>
      </c>
      <c r="M198">
        <v>2370936.5699999798</v>
      </c>
      <c r="N198">
        <v>2592412.5408999999</v>
      </c>
      <c r="O198">
        <v>5333682</v>
      </c>
      <c r="P198">
        <v>6463268</v>
      </c>
      <c r="Q198">
        <v>151721737.064924</v>
      </c>
      <c r="R198">
        <v>4350</v>
      </c>
      <c r="S198">
        <v>3353</v>
      </c>
      <c r="T198">
        <v>2808</v>
      </c>
      <c r="U198">
        <v>2371</v>
      </c>
      <c r="V198">
        <v>0</v>
      </c>
      <c r="W198" s="6" t="str">
        <f>VLOOKUP(E198,Segments!$B$1:$C$12,2,0)</f>
        <v>High</v>
      </c>
      <c r="Z198" t="s">
        <v>2392</v>
      </c>
    </row>
    <row r="199" spans="1:26" x14ac:dyDescent="0.35">
      <c r="A199" s="1">
        <v>44287</v>
      </c>
      <c r="B199">
        <v>24866757</v>
      </c>
      <c r="C199">
        <v>43442</v>
      </c>
      <c r="D199" t="s">
        <v>47</v>
      </c>
      <c r="E199" t="s">
        <v>37</v>
      </c>
      <c r="F199">
        <v>10519112.3428507</v>
      </c>
      <c r="G199">
        <v>10590335.897586299</v>
      </c>
      <c r="H199">
        <v>11250508.572486499</v>
      </c>
      <c r="I199">
        <v>9716492.5584794208</v>
      </c>
      <c r="J199">
        <v>243.78103903103701</v>
      </c>
      <c r="K199">
        <v>258.97768455610998</v>
      </c>
      <c r="L199">
        <v>223.665866177418</v>
      </c>
      <c r="M199">
        <v>3046912.1999999899</v>
      </c>
      <c r="N199">
        <v>3542645.13</v>
      </c>
      <c r="O199">
        <v>7217132</v>
      </c>
      <c r="P199">
        <v>7530008</v>
      </c>
      <c r="Q199">
        <v>196045315.717399</v>
      </c>
      <c r="R199">
        <v>3166</v>
      </c>
      <c r="S199">
        <v>2485</v>
      </c>
      <c r="T199">
        <v>2106</v>
      </c>
      <c r="U199">
        <v>1802</v>
      </c>
      <c r="V199">
        <v>0</v>
      </c>
      <c r="W199" s="6" t="str">
        <f>VLOOKUP(E199,Segments!$B$1:$C$12,2,0)</f>
        <v>High</v>
      </c>
      <c r="Z199" t="s">
        <v>2392</v>
      </c>
    </row>
    <row r="200" spans="1:26" x14ac:dyDescent="0.35">
      <c r="A200" s="1">
        <v>44287</v>
      </c>
      <c r="B200">
        <v>24866757</v>
      </c>
      <c r="C200">
        <v>205879</v>
      </c>
      <c r="D200" t="s">
        <v>47</v>
      </c>
      <c r="E200" t="s">
        <v>38</v>
      </c>
      <c r="F200">
        <v>7495247.5800400302</v>
      </c>
      <c r="G200">
        <v>6820902.9887153096</v>
      </c>
      <c r="H200">
        <v>7552349.2453249497</v>
      </c>
      <c r="I200">
        <v>8112490.5060800901</v>
      </c>
      <c r="J200">
        <v>33.1306397870366</v>
      </c>
      <c r="K200">
        <v>36.6834366075459</v>
      </c>
      <c r="L200">
        <v>39.404167040252197</v>
      </c>
      <c r="M200">
        <v>2444762.0599999302</v>
      </c>
      <c r="N200">
        <v>1961472.0600000101</v>
      </c>
      <c r="O200">
        <v>4327859</v>
      </c>
      <c r="P200">
        <v>9562370</v>
      </c>
      <c r="Q200">
        <v>131118232.931962</v>
      </c>
      <c r="R200">
        <v>67452</v>
      </c>
      <c r="S200">
        <v>49752</v>
      </c>
      <c r="T200">
        <v>40230</v>
      </c>
      <c r="U200">
        <v>29912</v>
      </c>
      <c r="V200">
        <v>0</v>
      </c>
      <c r="W200" s="6" t="str">
        <f>VLOOKUP(E200,Segments!$B$1:$C$12,2,0)</f>
        <v>Medium</v>
      </c>
      <c r="Z200" t="s">
        <v>2391</v>
      </c>
    </row>
    <row r="201" spans="1:26" x14ac:dyDescent="0.35">
      <c r="A201" s="1">
        <v>44287</v>
      </c>
      <c r="B201">
        <v>24866757</v>
      </c>
      <c r="C201">
        <v>28035</v>
      </c>
      <c r="D201" t="s">
        <v>47</v>
      </c>
      <c r="E201" t="s">
        <v>39</v>
      </c>
      <c r="F201">
        <v>10594990.0044789</v>
      </c>
      <c r="G201">
        <v>10657513.3592637</v>
      </c>
      <c r="H201">
        <v>11377986.629368899</v>
      </c>
      <c r="I201">
        <v>9749470.0248041395</v>
      </c>
      <c r="J201">
        <v>380.15028925499399</v>
      </c>
      <c r="K201">
        <v>405.84935364255301</v>
      </c>
      <c r="L201">
        <v>347.76065720720999</v>
      </c>
      <c r="M201">
        <v>2974079.4799999902</v>
      </c>
      <c r="N201">
        <v>3837326.48</v>
      </c>
      <c r="O201">
        <v>6972710</v>
      </c>
      <c r="P201">
        <v>6133738</v>
      </c>
      <c r="Q201">
        <v>170881641.943158</v>
      </c>
      <c r="R201">
        <v>1547</v>
      </c>
      <c r="S201">
        <v>1231</v>
      </c>
      <c r="T201">
        <v>1067</v>
      </c>
      <c r="U201">
        <v>916</v>
      </c>
      <c r="V201">
        <v>0</v>
      </c>
      <c r="W201" s="6" t="str">
        <f>VLOOKUP(E201,Segments!$B$1:$C$12,2,0)</f>
        <v>VHigh</v>
      </c>
      <c r="Z201" t="s">
        <v>2393</v>
      </c>
    </row>
    <row r="202" spans="1:26" x14ac:dyDescent="0.35">
      <c r="A202" s="1">
        <v>44287</v>
      </c>
      <c r="B202">
        <v>24866757</v>
      </c>
      <c r="C202">
        <v>124231</v>
      </c>
      <c r="D202" t="s">
        <v>47</v>
      </c>
      <c r="E202" t="s">
        <v>40</v>
      </c>
      <c r="F202">
        <v>7645402.3827603897</v>
      </c>
      <c r="G202">
        <v>7235538.9725254597</v>
      </c>
      <c r="H202">
        <v>7969044.0108541502</v>
      </c>
      <c r="I202">
        <v>7731624.16490163</v>
      </c>
      <c r="J202">
        <v>58.242620380786299</v>
      </c>
      <c r="K202">
        <v>64.146984334458807</v>
      </c>
      <c r="L202">
        <v>62.235868381495997</v>
      </c>
      <c r="M202">
        <v>2451963.5499999602</v>
      </c>
      <c r="N202">
        <v>2224349.45000001</v>
      </c>
      <c r="O202">
        <v>4437114</v>
      </c>
      <c r="P202">
        <v>8511738</v>
      </c>
      <c r="Q202">
        <v>140480233.23933899</v>
      </c>
      <c r="R202">
        <v>26912</v>
      </c>
      <c r="S202">
        <v>19918</v>
      </c>
      <c r="T202">
        <v>16279</v>
      </c>
      <c r="U202">
        <v>12767</v>
      </c>
      <c r="V202">
        <v>0</v>
      </c>
      <c r="W202" s="6" t="str">
        <f>VLOOKUP(E202,Segments!$B$1:$C$12,2,0)</f>
        <v>Medium</v>
      </c>
      <c r="Z202" t="s">
        <v>2391</v>
      </c>
    </row>
    <row r="203" spans="1:26" x14ac:dyDescent="0.35">
      <c r="A203" s="1">
        <v>44287</v>
      </c>
      <c r="B203">
        <v>24866757</v>
      </c>
      <c r="C203">
        <v>78891</v>
      </c>
      <c r="D203" t="s">
        <v>47</v>
      </c>
      <c r="E203" t="s">
        <v>41</v>
      </c>
      <c r="F203">
        <v>6834434.7466685995</v>
      </c>
      <c r="G203">
        <v>6617231.4198145196</v>
      </c>
      <c r="H203">
        <v>7225950.0686772401</v>
      </c>
      <c r="I203">
        <v>6660122.7515141498</v>
      </c>
      <c r="J203">
        <v>83.878153652692006</v>
      </c>
      <c r="K203">
        <v>91.5940990566382</v>
      </c>
      <c r="L203">
        <v>84.421832040589507</v>
      </c>
      <c r="M203">
        <v>2149127.9199999799</v>
      </c>
      <c r="N203">
        <v>2089579.8008999999</v>
      </c>
      <c r="O203">
        <v>4227799</v>
      </c>
      <c r="P203">
        <v>7013218</v>
      </c>
      <c r="Q203">
        <v>128289511.39328299</v>
      </c>
      <c r="R203">
        <v>12996</v>
      </c>
      <c r="S203">
        <v>9677</v>
      </c>
      <c r="T203">
        <v>7937</v>
      </c>
      <c r="U203">
        <v>6429</v>
      </c>
      <c r="V203">
        <v>0</v>
      </c>
      <c r="W203" s="6" t="str">
        <f>VLOOKUP(E203,Segments!$B$1:$C$12,2,0)</f>
        <v>Medium</v>
      </c>
      <c r="Z203" t="s">
        <v>2391</v>
      </c>
    </row>
    <row r="204" spans="1:26" x14ac:dyDescent="0.35">
      <c r="A204" s="1">
        <v>44287</v>
      </c>
      <c r="B204">
        <v>24866757</v>
      </c>
      <c r="C204">
        <v>16214</v>
      </c>
      <c r="D204" t="s">
        <v>47</v>
      </c>
      <c r="E204" t="s">
        <v>42</v>
      </c>
      <c r="F204">
        <v>13139682.1865026</v>
      </c>
      <c r="G204">
        <v>13311795.1690135</v>
      </c>
      <c r="H204">
        <v>14138444.2535745</v>
      </c>
      <c r="I204">
        <v>11968807.1369198</v>
      </c>
      <c r="J204">
        <v>821.00623960857899</v>
      </c>
      <c r="K204">
        <v>871.98990092355803</v>
      </c>
      <c r="L204">
        <v>738.17732434438199</v>
      </c>
      <c r="M204">
        <v>3808029.5399999898</v>
      </c>
      <c r="N204">
        <v>5979669.3300000001</v>
      </c>
      <c r="O204">
        <v>6547870</v>
      </c>
      <c r="P204">
        <v>5061095</v>
      </c>
      <c r="Q204">
        <v>175588167.743554</v>
      </c>
      <c r="R204">
        <v>585</v>
      </c>
      <c r="S204">
        <v>486</v>
      </c>
      <c r="T204">
        <v>426</v>
      </c>
      <c r="U204">
        <v>383</v>
      </c>
      <c r="V204">
        <v>0</v>
      </c>
      <c r="W204" s="6" t="str">
        <f>VLOOKUP(E204,Segments!$B$1:$C$12,2,0)</f>
        <v>VHigh</v>
      </c>
      <c r="Z204" t="s">
        <v>2393</v>
      </c>
    </row>
    <row r="205" spans="1:26" x14ac:dyDescent="0.35">
      <c r="A205" s="1">
        <v>44287</v>
      </c>
      <c r="B205">
        <v>24866757</v>
      </c>
      <c r="C205">
        <v>10683</v>
      </c>
      <c r="D205" t="s">
        <v>47</v>
      </c>
      <c r="E205" t="s">
        <v>43</v>
      </c>
      <c r="F205">
        <v>-113873.59348068399</v>
      </c>
      <c r="G205">
        <v>-105036.317858222</v>
      </c>
      <c r="H205">
        <v>-115620.15137681599</v>
      </c>
      <c r="I205">
        <v>-120964.311207013</v>
      </c>
      <c r="J205">
        <v>-9.8320993970067292</v>
      </c>
      <c r="K205">
        <v>-10.822816753422799</v>
      </c>
      <c r="L205">
        <v>-11.3230657312565</v>
      </c>
      <c r="M205">
        <v>6845.26</v>
      </c>
      <c r="N205">
        <v>4046.65</v>
      </c>
      <c r="O205">
        <v>629286</v>
      </c>
      <c r="P205">
        <v>104347</v>
      </c>
      <c r="Q205">
        <v>451666035.04435599</v>
      </c>
      <c r="R205">
        <v>4480</v>
      </c>
      <c r="S205">
        <v>3883</v>
      </c>
      <c r="T205">
        <v>2983</v>
      </c>
      <c r="U205">
        <v>1988</v>
      </c>
      <c r="V205">
        <v>0</v>
      </c>
      <c r="W205" s="6" t="str">
        <f>VLOOKUP(E205,Segments!$B$1:$C$12,2,0)</f>
        <v>Low</v>
      </c>
      <c r="Z205" t="s">
        <v>2390</v>
      </c>
    </row>
    <row r="206" spans="1:26" x14ac:dyDescent="0.35">
      <c r="A206" s="1">
        <v>44287</v>
      </c>
      <c r="B206">
        <v>24866757</v>
      </c>
      <c r="C206">
        <v>1499864</v>
      </c>
      <c r="D206" t="s">
        <v>48</v>
      </c>
      <c r="E206" t="s">
        <v>32</v>
      </c>
      <c r="F206">
        <v>5033929.74935045</v>
      </c>
      <c r="G206">
        <v>4773884.5371990204</v>
      </c>
      <c r="H206">
        <v>4743042.4740859298</v>
      </c>
      <c r="I206">
        <v>5584862.2367690802</v>
      </c>
      <c r="J206">
        <v>3.18287827242938</v>
      </c>
      <c r="K206">
        <v>3.1623150326202398</v>
      </c>
      <c r="L206">
        <v>3.7235790956840602</v>
      </c>
      <c r="M206">
        <v>1876824.70049995</v>
      </c>
      <c r="N206">
        <v>400641.819599993</v>
      </c>
      <c r="O206">
        <v>2389486</v>
      </c>
      <c r="P206">
        <v>40768905</v>
      </c>
      <c r="Q206">
        <v>128758661.83128799</v>
      </c>
      <c r="R206">
        <v>826447</v>
      </c>
      <c r="S206">
        <v>611138</v>
      </c>
      <c r="T206">
        <v>458496</v>
      </c>
      <c r="U206">
        <v>253898</v>
      </c>
      <c r="V206">
        <v>0</v>
      </c>
      <c r="W206" s="6" t="str">
        <f>VLOOKUP(E206,Segments!$B$1:$C$12,2,0)</f>
        <v>Low</v>
      </c>
      <c r="Z206" t="s">
        <v>2390</v>
      </c>
    </row>
    <row r="207" spans="1:26" x14ac:dyDescent="0.35">
      <c r="A207" s="1">
        <v>44287</v>
      </c>
      <c r="B207">
        <v>24866757</v>
      </c>
      <c r="C207">
        <v>1010727</v>
      </c>
      <c r="D207" t="s">
        <v>48</v>
      </c>
      <c r="E207" t="s">
        <v>33</v>
      </c>
      <c r="F207">
        <v>17288918.189058699</v>
      </c>
      <c r="G207">
        <v>17234062.763659999</v>
      </c>
      <c r="H207">
        <v>16733730.152381601</v>
      </c>
      <c r="I207">
        <v>17898961.651135098</v>
      </c>
      <c r="J207">
        <v>17.051155023720501</v>
      </c>
      <c r="K207">
        <v>16.5561325188519</v>
      </c>
      <c r="L207">
        <v>17.708997237765601</v>
      </c>
      <c r="M207">
        <v>8805089.8841992095</v>
      </c>
      <c r="N207">
        <v>2223518.1331000701</v>
      </c>
      <c r="O207">
        <v>12888258</v>
      </c>
      <c r="P207">
        <v>62792367</v>
      </c>
      <c r="Q207">
        <v>175336309.27657601</v>
      </c>
      <c r="R207">
        <v>246341</v>
      </c>
      <c r="S207">
        <v>147961</v>
      </c>
      <c r="T207">
        <v>103544</v>
      </c>
      <c r="U207">
        <v>62426</v>
      </c>
      <c r="V207">
        <v>0</v>
      </c>
      <c r="W207" s="6" t="str">
        <f>VLOOKUP(E207,Segments!$B$1:$C$12,2,0)</f>
        <v>Low</v>
      </c>
      <c r="Z207" t="s">
        <v>2390</v>
      </c>
    </row>
    <row r="208" spans="1:26" x14ac:dyDescent="0.35">
      <c r="A208" s="1">
        <v>44287</v>
      </c>
      <c r="B208">
        <v>24866757</v>
      </c>
      <c r="C208">
        <v>561453</v>
      </c>
      <c r="D208" t="s">
        <v>48</v>
      </c>
      <c r="E208" t="s">
        <v>34</v>
      </c>
      <c r="F208">
        <v>62870984.786937997</v>
      </c>
      <c r="G208">
        <v>64265120.719464898</v>
      </c>
      <c r="H208">
        <v>65525995.344674103</v>
      </c>
      <c r="I208">
        <v>58821838.296674803</v>
      </c>
      <c r="J208">
        <v>114.46215572713101</v>
      </c>
      <c r="K208">
        <v>116.707890677713</v>
      </c>
      <c r="L208">
        <v>104.767163585687</v>
      </c>
      <c r="M208">
        <v>28873993.460100099</v>
      </c>
      <c r="N208">
        <v>16162885.1770996</v>
      </c>
      <c r="O208">
        <v>46255364</v>
      </c>
      <c r="P208">
        <v>96636207</v>
      </c>
      <c r="Q208">
        <v>572223481.85900295</v>
      </c>
      <c r="R208">
        <v>20772</v>
      </c>
      <c r="S208">
        <v>12850</v>
      </c>
      <c r="T208">
        <v>9333</v>
      </c>
      <c r="U208">
        <v>6887</v>
      </c>
      <c r="V208">
        <v>0</v>
      </c>
      <c r="W208" s="6" t="str">
        <f>VLOOKUP(E208,Segments!$B$1:$C$12,2,0)</f>
        <v>Medium</v>
      </c>
      <c r="Z208" t="s">
        <v>2391</v>
      </c>
    </row>
    <row r="209" spans="1:26" x14ac:dyDescent="0.35">
      <c r="A209" s="1">
        <v>44287</v>
      </c>
      <c r="B209">
        <v>24866757</v>
      </c>
      <c r="C209">
        <v>444861</v>
      </c>
      <c r="D209" t="s">
        <v>48</v>
      </c>
      <c r="E209" t="s">
        <v>35</v>
      </c>
      <c r="F209">
        <v>60956688.907448597</v>
      </c>
      <c r="G209">
        <v>62457754.332198903</v>
      </c>
      <c r="H209">
        <v>63727077.2211871</v>
      </c>
      <c r="I209">
        <v>56685235.1689611</v>
      </c>
      <c r="J209">
        <v>140.39835888558201</v>
      </c>
      <c r="K209">
        <v>143.25166112827799</v>
      </c>
      <c r="L209">
        <v>127.42235253025299</v>
      </c>
      <c r="M209">
        <v>27148365.7561001</v>
      </c>
      <c r="N209">
        <v>16486506.350399701</v>
      </c>
      <c r="O209">
        <v>45167455</v>
      </c>
      <c r="P209">
        <v>84899243</v>
      </c>
      <c r="Q209">
        <v>565662604.39247298</v>
      </c>
      <c r="R209">
        <v>13231</v>
      </c>
      <c r="S209">
        <v>8349</v>
      </c>
      <c r="T209">
        <v>6160</v>
      </c>
      <c r="U209">
        <v>4620</v>
      </c>
      <c r="V209">
        <v>0</v>
      </c>
      <c r="W209" s="6" t="str">
        <f>VLOOKUP(E209,Segments!$B$1:$C$12,2,0)</f>
        <v>High</v>
      </c>
      <c r="Z209" t="s">
        <v>2392</v>
      </c>
    </row>
    <row r="210" spans="1:26" x14ac:dyDescent="0.35">
      <c r="A210" s="1">
        <v>44287</v>
      </c>
      <c r="B210">
        <v>24866757</v>
      </c>
      <c r="C210">
        <v>652591</v>
      </c>
      <c r="D210" t="s">
        <v>48</v>
      </c>
      <c r="E210" t="s">
        <v>36</v>
      </c>
      <c r="F210">
        <v>113129118.436713</v>
      </c>
      <c r="G210">
        <v>116281149.188288</v>
      </c>
      <c r="H210">
        <v>118528866.186222</v>
      </c>
      <c r="I210">
        <v>104577339.935626</v>
      </c>
      <c r="J210">
        <v>178.18380760428599</v>
      </c>
      <c r="K210">
        <v>181.62810425859701</v>
      </c>
      <c r="L210">
        <v>160.249436378415</v>
      </c>
      <c r="M210">
        <v>48666773.8469005</v>
      </c>
      <c r="N210">
        <v>32462493.7752994</v>
      </c>
      <c r="O210">
        <v>84735327</v>
      </c>
      <c r="P210">
        <v>140963936</v>
      </c>
      <c r="Q210">
        <v>1074249436.7662699</v>
      </c>
      <c r="R210">
        <v>14868</v>
      </c>
      <c r="S210">
        <v>9589</v>
      </c>
      <c r="T210">
        <v>7147</v>
      </c>
      <c r="U210">
        <v>5431</v>
      </c>
      <c r="V210">
        <v>0</v>
      </c>
      <c r="W210" s="6" t="str">
        <f>VLOOKUP(E210,Segments!$B$1:$C$12,2,0)</f>
        <v>High</v>
      </c>
      <c r="Z210" t="s">
        <v>2392</v>
      </c>
    </row>
    <row r="211" spans="1:26" x14ac:dyDescent="0.35">
      <c r="A211" s="1">
        <v>44287</v>
      </c>
      <c r="B211">
        <v>24866757</v>
      </c>
      <c r="C211">
        <v>770067</v>
      </c>
      <c r="D211" t="s">
        <v>48</v>
      </c>
      <c r="E211" t="s">
        <v>37</v>
      </c>
      <c r="F211">
        <v>188222463.974875</v>
      </c>
      <c r="G211">
        <v>193615124.662606</v>
      </c>
      <c r="H211">
        <v>197808934.33887699</v>
      </c>
      <c r="I211">
        <v>173243332.923143</v>
      </c>
      <c r="J211">
        <v>251.426336490989</v>
      </c>
      <c r="K211">
        <v>256.87236868853898</v>
      </c>
      <c r="L211">
        <v>224.971765993274</v>
      </c>
      <c r="M211">
        <v>76565938.550600201</v>
      </c>
      <c r="N211">
        <v>58560105.074698903</v>
      </c>
      <c r="O211">
        <v>141783849</v>
      </c>
      <c r="P211">
        <v>198333599</v>
      </c>
      <c r="Q211">
        <v>1812515941.7223401</v>
      </c>
      <c r="R211">
        <v>12193</v>
      </c>
      <c r="S211">
        <v>8205</v>
      </c>
      <c r="T211">
        <v>6144</v>
      </c>
      <c r="U211">
        <v>4727</v>
      </c>
      <c r="V211">
        <v>0</v>
      </c>
      <c r="W211" s="6" t="str">
        <f>VLOOKUP(E211,Segments!$B$1:$C$12,2,0)</f>
        <v>High</v>
      </c>
      <c r="Z211" t="s">
        <v>2392</v>
      </c>
    </row>
    <row r="212" spans="1:26" x14ac:dyDescent="0.35">
      <c r="A212" s="1">
        <v>44287</v>
      </c>
      <c r="B212">
        <v>24866757</v>
      </c>
      <c r="C212">
        <v>1252140</v>
      </c>
      <c r="D212" t="s">
        <v>48</v>
      </c>
      <c r="E212" t="s">
        <v>38</v>
      </c>
      <c r="F212">
        <v>46138614.801761098</v>
      </c>
      <c r="G212">
        <v>46546923.177303202</v>
      </c>
      <c r="H212">
        <v>46504941.829236098</v>
      </c>
      <c r="I212">
        <v>45363979.398745902</v>
      </c>
      <c r="J212">
        <v>37.173896830468799</v>
      </c>
      <c r="K212">
        <v>37.1403691514017</v>
      </c>
      <c r="L212">
        <v>36.229159198448997</v>
      </c>
      <c r="M212">
        <v>24173521.527501199</v>
      </c>
      <c r="N212">
        <v>7813572.5817001304</v>
      </c>
      <c r="O212">
        <v>35155576</v>
      </c>
      <c r="P212">
        <v>117206127</v>
      </c>
      <c r="Q212">
        <v>395209939.78778702</v>
      </c>
      <c r="R212">
        <v>158807</v>
      </c>
      <c r="S212">
        <v>91868</v>
      </c>
      <c r="T212">
        <v>64768</v>
      </c>
      <c r="U212">
        <v>43086</v>
      </c>
      <c r="V212">
        <v>0</v>
      </c>
      <c r="W212" s="6" t="str">
        <f>VLOOKUP(E212,Segments!$B$1:$C$12,2,0)</f>
        <v>Medium</v>
      </c>
      <c r="Z212" t="s">
        <v>2391</v>
      </c>
    </row>
    <row r="213" spans="1:26" x14ac:dyDescent="0.35">
      <c r="A213" s="1">
        <v>44287</v>
      </c>
      <c r="B213">
        <v>24866757</v>
      </c>
      <c r="C213">
        <v>653899</v>
      </c>
      <c r="D213" t="s">
        <v>48</v>
      </c>
      <c r="E213" t="s">
        <v>39</v>
      </c>
      <c r="F213">
        <v>250213114.795131</v>
      </c>
      <c r="G213">
        <v>257599331.21649599</v>
      </c>
      <c r="H213">
        <v>263900295.854911</v>
      </c>
      <c r="I213">
        <v>229139717.31398499</v>
      </c>
      <c r="J213">
        <v>393.943607830102</v>
      </c>
      <c r="K213">
        <v>403.57959846231699</v>
      </c>
      <c r="L213">
        <v>350.42065718709699</v>
      </c>
      <c r="M213">
        <v>94084857.069699898</v>
      </c>
      <c r="N213">
        <v>87785909.348499998</v>
      </c>
      <c r="O213">
        <v>180820112</v>
      </c>
      <c r="P213">
        <v>211946010</v>
      </c>
      <c r="Q213">
        <v>2329738878.71134</v>
      </c>
      <c r="R213">
        <v>6420</v>
      </c>
      <c r="S213">
        <v>4369</v>
      </c>
      <c r="T213">
        <v>3269</v>
      </c>
      <c r="U213">
        <v>2558</v>
      </c>
      <c r="V213">
        <v>0</v>
      </c>
      <c r="W213" s="6" t="str">
        <f>VLOOKUP(E213,Segments!$B$1:$C$12,2,0)</f>
        <v>VHigh</v>
      </c>
      <c r="Z213" t="s">
        <v>2393</v>
      </c>
    </row>
    <row r="214" spans="1:26" x14ac:dyDescent="0.35">
      <c r="A214" s="1">
        <v>44287</v>
      </c>
      <c r="B214">
        <v>24866757</v>
      </c>
      <c r="C214">
        <v>937950</v>
      </c>
      <c r="D214" t="s">
        <v>48</v>
      </c>
      <c r="E214" t="s">
        <v>40</v>
      </c>
      <c r="F214">
        <v>58103114.286528997</v>
      </c>
      <c r="G214">
        <v>58919605.267962098</v>
      </c>
      <c r="H214">
        <v>59802147.344124898</v>
      </c>
      <c r="I214">
        <v>55587590.2474989</v>
      </c>
      <c r="J214">
        <v>62.8174265877308</v>
      </c>
      <c r="K214">
        <v>63.7583531575509</v>
      </c>
      <c r="L214">
        <v>59.264982405777403</v>
      </c>
      <c r="M214">
        <v>29021453.093200501</v>
      </c>
      <c r="N214">
        <v>12349064.0487996</v>
      </c>
      <c r="O214">
        <v>43008618</v>
      </c>
      <c r="P214">
        <v>116447284</v>
      </c>
      <c r="Q214">
        <v>506367772.35464698</v>
      </c>
      <c r="R214">
        <v>67983</v>
      </c>
      <c r="S214">
        <v>40088</v>
      </c>
      <c r="T214">
        <v>28732</v>
      </c>
      <c r="U214">
        <v>20435</v>
      </c>
      <c r="V214">
        <v>0</v>
      </c>
      <c r="W214" s="6" t="str">
        <f>VLOOKUP(E214,Segments!$B$1:$C$12,2,0)</f>
        <v>Medium</v>
      </c>
      <c r="Z214" t="s">
        <v>2391</v>
      </c>
    </row>
    <row r="215" spans="1:26" x14ac:dyDescent="0.35">
      <c r="A215" s="1">
        <v>44287</v>
      </c>
      <c r="B215">
        <v>24866757</v>
      </c>
      <c r="C215">
        <v>718847</v>
      </c>
      <c r="D215" t="s">
        <v>48</v>
      </c>
      <c r="E215" t="s">
        <v>41</v>
      </c>
      <c r="F215">
        <v>62526847.227224998</v>
      </c>
      <c r="G215">
        <v>63743564.002788298</v>
      </c>
      <c r="H215">
        <v>64879461.678021297</v>
      </c>
      <c r="I215">
        <v>58957516.000864998</v>
      </c>
      <c r="J215">
        <v>88.674730509814097</v>
      </c>
      <c r="K215">
        <v>90.254896630327806</v>
      </c>
      <c r="L215">
        <v>82.016779649723802</v>
      </c>
      <c r="M215">
        <v>29808588.655600298</v>
      </c>
      <c r="N215">
        <v>15010306.6838996</v>
      </c>
      <c r="O215">
        <v>45622040</v>
      </c>
      <c r="P215">
        <v>107183056</v>
      </c>
      <c r="Q215">
        <v>558441254.83250797</v>
      </c>
      <c r="R215">
        <v>35844</v>
      </c>
      <c r="S215">
        <v>21634</v>
      </c>
      <c r="T215">
        <v>15640</v>
      </c>
      <c r="U215">
        <v>11413</v>
      </c>
      <c r="V215">
        <v>0</v>
      </c>
      <c r="W215" s="6" t="str">
        <f>VLOOKUP(E215,Segments!$B$1:$C$12,2,0)</f>
        <v>Medium</v>
      </c>
      <c r="Z215" t="s">
        <v>2391</v>
      </c>
    </row>
    <row r="216" spans="1:26" x14ac:dyDescent="0.35">
      <c r="A216" s="1">
        <v>44287</v>
      </c>
      <c r="B216">
        <v>24866757</v>
      </c>
      <c r="C216">
        <v>502897</v>
      </c>
      <c r="D216" t="s">
        <v>48</v>
      </c>
      <c r="E216" t="s">
        <v>42</v>
      </c>
      <c r="F216">
        <v>417248334.28477103</v>
      </c>
      <c r="G216">
        <v>430345340.557311</v>
      </c>
      <c r="H216">
        <v>443096285.59273499</v>
      </c>
      <c r="I216">
        <v>378303376.70425701</v>
      </c>
      <c r="J216">
        <v>855.73256662360598</v>
      </c>
      <c r="K216">
        <v>881.08754992122795</v>
      </c>
      <c r="L216">
        <v>752.24822718023302</v>
      </c>
      <c r="M216">
        <v>148896054.0686</v>
      </c>
      <c r="N216">
        <v>183677686.36489999</v>
      </c>
      <c r="O216">
        <v>244165330</v>
      </c>
      <c r="P216">
        <v>233982647</v>
      </c>
      <c r="Q216">
        <v>3786187501.5596199</v>
      </c>
      <c r="R216">
        <v>2590</v>
      </c>
      <c r="S216">
        <v>1806</v>
      </c>
      <c r="T216">
        <v>1397</v>
      </c>
      <c r="U216">
        <v>1141</v>
      </c>
      <c r="V216">
        <v>0</v>
      </c>
      <c r="W216" s="6" t="str">
        <f>VLOOKUP(E216,Segments!$B$1:$C$12,2,0)</f>
        <v>VHigh</v>
      </c>
      <c r="Z216" t="s">
        <v>2393</v>
      </c>
    </row>
    <row r="217" spans="1:26" x14ac:dyDescent="0.35">
      <c r="A217" s="1">
        <v>44287</v>
      </c>
      <c r="B217">
        <v>24866757</v>
      </c>
      <c r="C217">
        <v>17573</v>
      </c>
      <c r="D217" t="s">
        <v>48</v>
      </c>
      <c r="E217" t="s">
        <v>43</v>
      </c>
      <c r="F217">
        <v>-259048.45979647801</v>
      </c>
      <c r="G217">
        <v>-274650.24512012902</v>
      </c>
      <c r="H217">
        <v>-289088.77546673198</v>
      </c>
      <c r="I217">
        <v>-213406.358802573</v>
      </c>
      <c r="J217">
        <v>-15.6291040300534</v>
      </c>
      <c r="K217">
        <v>-16.4507355298886</v>
      </c>
      <c r="L217">
        <v>-12.143991282226899</v>
      </c>
      <c r="M217">
        <v>86366.560100000002</v>
      </c>
      <c r="N217">
        <v>19531.990300000001</v>
      </c>
      <c r="O217">
        <v>152765</v>
      </c>
      <c r="P217">
        <v>414447</v>
      </c>
      <c r="Q217">
        <v>3010322.1330728498</v>
      </c>
      <c r="R217">
        <v>9496</v>
      </c>
      <c r="S217">
        <v>8211</v>
      </c>
      <c r="T217">
        <v>6100</v>
      </c>
      <c r="U217">
        <v>4311</v>
      </c>
      <c r="V217">
        <v>0</v>
      </c>
      <c r="W217" s="6" t="str">
        <f>VLOOKUP(E217,Segments!$B$1:$C$12,2,0)</f>
        <v>Low</v>
      </c>
      <c r="Z217" t="s">
        <v>2390</v>
      </c>
    </row>
  </sheetData>
  <autoFilter ref="A1:W217" xr:uid="{6AC96250-37B5-4B0F-9EA5-D2994DAAB21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F92F-EDEA-496E-B566-8951D07C6926}">
  <dimension ref="A1:G7"/>
  <sheetViews>
    <sheetView workbookViewId="0"/>
  </sheetViews>
  <sheetFormatPr defaultRowHeight="14.5" x14ac:dyDescent="0.35"/>
  <cols>
    <col min="1" max="1" width="12.36328125" bestFit="1" customWidth="1"/>
    <col min="2" max="2" width="14.7265625" bestFit="1" customWidth="1"/>
    <col min="3" max="3" width="21.26953125" bestFit="1" customWidth="1"/>
    <col min="4" max="7" width="22.26953125" bestFit="1" customWidth="1"/>
  </cols>
  <sheetData>
    <row r="1" spans="1:7" x14ac:dyDescent="0.35">
      <c r="A1" s="3" t="s">
        <v>12</v>
      </c>
      <c r="B1" s="6" t="s">
        <v>2358</v>
      </c>
    </row>
    <row r="3" spans="1:7" x14ac:dyDescent="0.35">
      <c r="A3" s="3" t="s">
        <v>2352</v>
      </c>
      <c r="B3" s="6" t="s">
        <v>2357</v>
      </c>
      <c r="C3" s="6" t="s">
        <v>2374</v>
      </c>
      <c r="D3" s="6" t="s">
        <v>2375</v>
      </c>
      <c r="E3" s="6" t="s">
        <v>2376</v>
      </c>
      <c r="F3" s="6" t="s">
        <v>2377</v>
      </c>
      <c r="G3" s="6" t="s">
        <v>2378</v>
      </c>
    </row>
    <row r="4" spans="1:7" x14ac:dyDescent="0.35">
      <c r="A4" s="2" t="s">
        <v>2354</v>
      </c>
      <c r="B4" s="4">
        <v>24998823</v>
      </c>
      <c r="C4" s="4">
        <v>9285735</v>
      </c>
      <c r="D4" s="4">
        <v>7924230</v>
      </c>
      <c r="E4" s="4">
        <v>6872269</v>
      </c>
      <c r="F4" s="4">
        <v>4379072</v>
      </c>
      <c r="G4" s="4">
        <v>2304891</v>
      </c>
    </row>
    <row r="5" spans="1:7" x14ac:dyDescent="0.35">
      <c r="A5" s="2" t="s">
        <v>2355</v>
      </c>
      <c r="B5" s="4">
        <v>25101804</v>
      </c>
      <c r="C5" s="4">
        <v>9585889</v>
      </c>
      <c r="D5" s="4">
        <v>8330090</v>
      </c>
      <c r="E5" s="4">
        <v>7216463</v>
      </c>
      <c r="F5" s="4">
        <v>4631907</v>
      </c>
      <c r="G5" s="4">
        <v>2516368</v>
      </c>
    </row>
    <row r="6" spans="1:7" x14ac:dyDescent="0.35">
      <c r="A6" s="2" t="s">
        <v>2356</v>
      </c>
      <c r="B6" s="4">
        <v>24866757</v>
      </c>
      <c r="C6" s="4">
        <v>9814495</v>
      </c>
      <c r="D6" s="4">
        <v>8213684</v>
      </c>
      <c r="E6" s="4">
        <v>6992278</v>
      </c>
      <c r="F6" s="4">
        <v>4493210</v>
      </c>
      <c r="G6" s="4">
        <v>0</v>
      </c>
    </row>
    <row r="7" spans="1:7" x14ac:dyDescent="0.35">
      <c r="A7" s="2" t="s">
        <v>2353</v>
      </c>
      <c r="B7" s="4">
        <v>74967384</v>
      </c>
      <c r="C7" s="4">
        <v>28686119</v>
      </c>
      <c r="D7" s="4">
        <v>24468004</v>
      </c>
      <c r="E7" s="4">
        <v>21081010</v>
      </c>
      <c r="F7" s="4">
        <v>13504189</v>
      </c>
      <c r="G7" s="4">
        <v>4821259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F092-11C3-4E7E-9FDA-EA7A2CDDC2B5}">
  <dimension ref="A1:AF52"/>
  <sheetViews>
    <sheetView topLeftCell="A19" zoomScale="90" zoomScaleNormal="90" workbookViewId="0">
      <selection activeCell="B22" sqref="B22"/>
    </sheetView>
  </sheetViews>
  <sheetFormatPr defaultRowHeight="14.5" x14ac:dyDescent="0.35"/>
  <cols>
    <col min="1" max="1" width="11.26953125" bestFit="1" customWidth="1"/>
    <col min="2" max="2" width="15.08984375" bestFit="1" customWidth="1"/>
    <col min="3" max="3" width="21.90625" bestFit="1" customWidth="1"/>
    <col min="4" max="7" width="22.90625" bestFit="1" customWidth="1"/>
    <col min="8" max="8" width="12.453125" customWidth="1"/>
    <col min="9" max="12" width="13.6328125" customWidth="1"/>
    <col min="14" max="14" width="11.7265625" bestFit="1" customWidth="1"/>
    <col min="15" max="19" width="10.6328125" bestFit="1" customWidth="1"/>
    <col min="20" max="23" width="6.81640625" bestFit="1" customWidth="1"/>
    <col min="24" max="24" width="5.81640625" bestFit="1" customWidth="1"/>
    <col min="26" max="26" width="10.08984375" bestFit="1" customWidth="1"/>
    <col min="27" max="27" width="8.1796875" bestFit="1" customWidth="1"/>
    <col min="28" max="28" width="4.7265625" bestFit="1" customWidth="1"/>
    <col min="30" max="30" width="10.08984375" bestFit="1" customWidth="1"/>
    <col min="31" max="31" width="8.1796875" bestFit="1" customWidth="1"/>
    <col min="32" max="32" width="4.7265625" bestFit="1" customWidth="1"/>
  </cols>
  <sheetData>
    <row r="1" spans="1:32" hidden="1" x14ac:dyDescent="0.35">
      <c r="A1" s="16" t="s">
        <v>2433</v>
      </c>
      <c r="B1" s="16"/>
      <c r="C1" s="16"/>
      <c r="D1" s="16"/>
    </row>
    <row r="2" spans="1:32" hidden="1" x14ac:dyDescent="0.35">
      <c r="A2" s="13" t="s">
        <v>2359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32" hidden="1" x14ac:dyDescent="0.35">
      <c r="A3" s="7" t="s">
        <v>2360</v>
      </c>
      <c r="B3" s="7" t="s">
        <v>2361</v>
      </c>
      <c r="C3" s="7" t="s">
        <v>2362</v>
      </c>
      <c r="D3" s="7" t="s">
        <v>2363</v>
      </c>
      <c r="E3" s="7" t="s">
        <v>2364</v>
      </c>
      <c r="F3" s="7" t="s">
        <v>2365</v>
      </c>
      <c r="G3" s="7" t="s">
        <v>2366</v>
      </c>
      <c r="H3" s="7" t="s">
        <v>2367</v>
      </c>
      <c r="I3" s="7" t="s">
        <v>2368</v>
      </c>
      <c r="J3" s="7" t="s">
        <v>2369</v>
      </c>
      <c r="K3" s="7" t="s">
        <v>2370</v>
      </c>
      <c r="L3" s="7" t="s">
        <v>2371</v>
      </c>
      <c r="Z3" s="11">
        <v>44287</v>
      </c>
      <c r="AA3" s="11">
        <v>43832</v>
      </c>
      <c r="AB3" s="6">
        <f>AA3-Z3</f>
        <v>-455</v>
      </c>
      <c r="AC3" s="6"/>
      <c r="AD3" s="11">
        <v>44287</v>
      </c>
      <c r="AE3" s="11">
        <v>43832</v>
      </c>
      <c r="AF3" s="6">
        <f>AE3-AD3</f>
        <v>-455</v>
      </c>
    </row>
    <row r="4" spans="1:32" hidden="1" x14ac:dyDescent="0.35">
      <c r="A4" s="8" t="s">
        <v>2354</v>
      </c>
      <c r="B4" s="8">
        <v>24998823</v>
      </c>
      <c r="C4" s="8">
        <v>9366635</v>
      </c>
      <c r="D4" s="8">
        <v>8016254</v>
      </c>
      <c r="E4" s="8">
        <v>6828424</v>
      </c>
      <c r="F4" s="8">
        <v>4396922</v>
      </c>
      <c r="G4" s="8">
        <v>2271466</v>
      </c>
      <c r="H4" s="9">
        <v>0.37468304007752684</v>
      </c>
      <c r="I4" s="9">
        <v>0.32066525692029579</v>
      </c>
      <c r="J4" s="9">
        <v>0.27314981989352061</v>
      </c>
      <c r="K4" s="9">
        <v>0.17588516067336452</v>
      </c>
      <c r="L4" s="9">
        <v>9.0862917826171258E-2</v>
      </c>
      <c r="N4" s="22">
        <f t="shared" ref="N4:X6" si="0">B22-B4</f>
        <v>0</v>
      </c>
      <c r="O4" s="22">
        <f t="shared" si="0"/>
        <v>-80900</v>
      </c>
      <c r="P4" s="22">
        <f t="shared" si="0"/>
        <v>-92024</v>
      </c>
      <c r="Q4" s="22">
        <f t="shared" si="0"/>
        <v>43845</v>
      </c>
      <c r="R4" s="22">
        <f t="shared" si="0"/>
        <v>-17850</v>
      </c>
      <c r="S4" s="22">
        <f t="shared" si="0"/>
        <v>33425</v>
      </c>
      <c r="T4" s="20">
        <f t="shared" si="0"/>
        <v>-3.2361523580530238E-3</v>
      </c>
      <c r="U4" s="20">
        <f t="shared" si="0"/>
        <v>-3.6811333077561015E-3</v>
      </c>
      <c r="V4" s="20">
        <f t="shared" si="0"/>
        <v>1.7538825727915208E-3</v>
      </c>
      <c r="W4" s="20">
        <f t="shared" si="0"/>
        <v>-7.1403361670269172E-4</v>
      </c>
      <c r="X4" s="20">
        <f t="shared" si="0"/>
        <v>1.3370629489236341E-3</v>
      </c>
      <c r="Z4" s="11">
        <f>Z3+6</f>
        <v>44293</v>
      </c>
      <c r="AA4" s="6">
        <f>Z4-$Z$3</f>
        <v>6</v>
      </c>
      <c r="AB4" s="6"/>
      <c r="AC4" s="6"/>
      <c r="AD4" s="11">
        <f>AD3+7</f>
        <v>44294</v>
      </c>
      <c r="AE4" s="6">
        <f>AD4-$Z$3</f>
        <v>7</v>
      </c>
      <c r="AF4" s="6"/>
    </row>
    <row r="5" spans="1:32" hidden="1" x14ac:dyDescent="0.35">
      <c r="A5" s="8" t="s">
        <v>2355</v>
      </c>
      <c r="B5" s="8">
        <v>25101804</v>
      </c>
      <c r="C5" s="8">
        <v>9667602</v>
      </c>
      <c r="D5" s="8">
        <v>8428184</v>
      </c>
      <c r="E5" s="8">
        <v>7190489</v>
      </c>
      <c r="F5" s="8">
        <v>4608056</v>
      </c>
      <c r="G5" s="8">
        <v>2467051</v>
      </c>
      <c r="H5" s="9">
        <v>0.38513574562210751</v>
      </c>
      <c r="I5" s="9">
        <v>0.33576009118707167</v>
      </c>
      <c r="J5" s="9">
        <v>0.28645307723699859</v>
      </c>
      <c r="K5" s="9">
        <v>0.18357469447215827</v>
      </c>
      <c r="L5" s="9">
        <v>9.8281820701014155E-2</v>
      </c>
      <c r="N5" s="22">
        <f t="shared" si="0"/>
        <v>0</v>
      </c>
      <c r="O5" s="22">
        <f t="shared" si="0"/>
        <v>-81713</v>
      </c>
      <c r="P5" s="22">
        <f t="shared" si="0"/>
        <v>-98094</v>
      </c>
      <c r="Q5" s="22">
        <f t="shared" si="0"/>
        <v>25974</v>
      </c>
      <c r="R5" s="22">
        <f t="shared" si="0"/>
        <v>23851</v>
      </c>
      <c r="S5" s="22">
        <f t="shared" si="0"/>
        <v>49317</v>
      </c>
      <c r="T5" s="20">
        <f t="shared" si="0"/>
        <v>-3.2552640439707514E-3</v>
      </c>
      <c r="U5" s="20">
        <f t="shared" si="0"/>
        <v>-3.9078466232945197E-3</v>
      </c>
      <c r="V5" s="20">
        <f t="shared" si="0"/>
        <v>1.0347463473143192E-3</v>
      </c>
      <c r="W5" s="20">
        <f t="shared" si="0"/>
        <v>9.5017075266781714E-4</v>
      </c>
      <c r="X5" s="20">
        <f t="shared" si="0"/>
        <v>1.96467951068377E-3</v>
      </c>
      <c r="Z5" s="11">
        <f>Z3+14</f>
        <v>44301</v>
      </c>
      <c r="AA5" s="6">
        <f t="shared" ref="AA5:AA8" si="1">Z5-$Z$3</f>
        <v>14</v>
      </c>
      <c r="AB5" s="6"/>
      <c r="AC5" s="6"/>
      <c r="AD5" s="11">
        <f>AD3+15</f>
        <v>44302</v>
      </c>
      <c r="AE5" s="6">
        <f t="shared" ref="AE5:AE8" si="2">AD5-$Z$3</f>
        <v>15</v>
      </c>
      <c r="AF5" s="6"/>
    </row>
    <row r="6" spans="1:32" hidden="1" x14ac:dyDescent="0.35">
      <c r="A6" s="8" t="s">
        <v>2356</v>
      </c>
      <c r="B6" s="8">
        <v>24866757</v>
      </c>
      <c r="C6" s="8">
        <v>9856922</v>
      </c>
      <c r="D6" s="8">
        <v>8298457</v>
      </c>
      <c r="E6" s="8">
        <v>7083198</v>
      </c>
      <c r="F6" s="8">
        <v>4490788</v>
      </c>
      <c r="G6" s="8"/>
      <c r="H6" s="9">
        <v>0.39638952518014309</v>
      </c>
      <c r="I6" s="9">
        <v>0.33371689762360246</v>
      </c>
      <c r="J6" s="9">
        <v>0.2848460697951084</v>
      </c>
      <c r="K6" s="9">
        <v>0.18059403564365067</v>
      </c>
      <c r="L6" s="9">
        <v>0</v>
      </c>
      <c r="N6" s="22">
        <f t="shared" si="0"/>
        <v>0</v>
      </c>
      <c r="O6" s="22">
        <f t="shared" si="0"/>
        <v>-42427</v>
      </c>
      <c r="P6" s="22">
        <f t="shared" si="0"/>
        <v>-84773</v>
      </c>
      <c r="Q6" s="22">
        <f t="shared" si="0"/>
        <v>-90920</v>
      </c>
      <c r="R6" s="22">
        <f t="shared" si="0"/>
        <v>2422</v>
      </c>
      <c r="S6" s="22">
        <f t="shared" si="0"/>
        <v>0</v>
      </c>
      <c r="T6" s="20">
        <f t="shared" si="0"/>
        <v>-1.7061734266353712E-3</v>
      </c>
      <c r="U6" s="20">
        <f t="shared" si="0"/>
        <v>-3.4090894924496684E-3</v>
      </c>
      <c r="V6" s="20">
        <f t="shared" si="0"/>
        <v>-3.6562869858743907E-3</v>
      </c>
      <c r="W6" s="20">
        <f t="shared" si="0"/>
        <v>9.7399109984463994E-5</v>
      </c>
      <c r="X6" s="20">
        <f t="shared" si="0"/>
        <v>0</v>
      </c>
      <c r="Z6" s="11">
        <f>Z3+29</f>
        <v>44316</v>
      </c>
      <c r="AA6" s="6">
        <f t="shared" si="1"/>
        <v>29</v>
      </c>
      <c r="AB6" s="6"/>
      <c r="AC6" s="6"/>
      <c r="AD6" s="11">
        <f>AD3+30</f>
        <v>44317</v>
      </c>
      <c r="AE6" s="6">
        <f t="shared" si="2"/>
        <v>30</v>
      </c>
      <c r="AF6" s="6"/>
    </row>
    <row r="7" spans="1:32" hidden="1" x14ac:dyDescent="0.3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Z7" s="11">
        <f>Z3+59</f>
        <v>44346</v>
      </c>
      <c r="AA7" s="6">
        <f t="shared" si="1"/>
        <v>59</v>
      </c>
      <c r="AB7" s="6"/>
      <c r="AC7" s="6"/>
      <c r="AD7" s="11">
        <f>AD3+60</f>
        <v>44347</v>
      </c>
      <c r="AE7" s="6">
        <f t="shared" si="2"/>
        <v>60</v>
      </c>
      <c r="AF7" s="6"/>
    </row>
    <row r="8" spans="1:32" hidden="1" x14ac:dyDescent="0.35">
      <c r="A8" s="13" t="s">
        <v>2372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Z8" s="11">
        <f>Z3+89</f>
        <v>44376</v>
      </c>
      <c r="AA8" s="6">
        <f t="shared" si="1"/>
        <v>89</v>
      </c>
      <c r="AB8" s="6"/>
      <c r="AC8" s="6"/>
      <c r="AD8" s="11">
        <f>AD3+90</f>
        <v>44377</v>
      </c>
      <c r="AE8" s="6">
        <f t="shared" si="2"/>
        <v>90</v>
      </c>
      <c r="AF8" s="6"/>
    </row>
    <row r="9" spans="1:32" hidden="1" x14ac:dyDescent="0.35">
      <c r="A9" s="7" t="s">
        <v>2360</v>
      </c>
      <c r="B9" s="7" t="s">
        <v>2361</v>
      </c>
      <c r="C9" s="7" t="s">
        <v>2362</v>
      </c>
      <c r="D9" s="7" t="s">
        <v>2363</v>
      </c>
      <c r="E9" s="7" t="s">
        <v>2364</v>
      </c>
      <c r="F9" s="7" t="s">
        <v>2365</v>
      </c>
      <c r="G9" s="7" t="s">
        <v>2366</v>
      </c>
      <c r="H9" s="7" t="s">
        <v>2367</v>
      </c>
      <c r="I9" s="7" t="s">
        <v>2368</v>
      </c>
      <c r="J9" s="7" t="s">
        <v>2369</v>
      </c>
      <c r="K9" s="7" t="s">
        <v>2370</v>
      </c>
      <c r="L9" s="7" t="s">
        <v>2371</v>
      </c>
      <c r="Z9" s="6"/>
      <c r="AA9" s="6"/>
      <c r="AB9" s="6"/>
      <c r="AC9" s="6"/>
      <c r="AD9" s="6"/>
      <c r="AE9" s="6"/>
      <c r="AF9" s="6"/>
    </row>
    <row r="10" spans="1:32" hidden="1" x14ac:dyDescent="0.35">
      <c r="A10" s="8" t="s">
        <v>2354</v>
      </c>
      <c r="B10" s="8">
        <v>5562568</v>
      </c>
      <c r="C10" s="8">
        <v>3278782</v>
      </c>
      <c r="D10" s="8">
        <v>2978593</v>
      </c>
      <c r="E10" s="8">
        <v>2751023</v>
      </c>
      <c r="F10" s="8">
        <v>2007202</v>
      </c>
      <c r="G10" s="8">
        <v>1084847</v>
      </c>
      <c r="H10" s="9">
        <v>0.58943674935749102</v>
      </c>
      <c r="I10" s="9">
        <v>0.5354708472777322</v>
      </c>
      <c r="J10" s="9">
        <v>0.4945598867285757</v>
      </c>
      <c r="K10" s="9">
        <v>0.36084089219223925</v>
      </c>
      <c r="L10" s="9">
        <v>0.19502629001569061</v>
      </c>
      <c r="N10" s="28">
        <f t="shared" ref="N10:X12" si="3">B28-B10</f>
        <v>137894</v>
      </c>
      <c r="O10" s="22">
        <f t="shared" si="3"/>
        <v>39217</v>
      </c>
      <c r="P10" s="22">
        <f t="shared" si="3"/>
        <v>32306</v>
      </c>
      <c r="Q10" s="22">
        <f t="shared" si="3"/>
        <v>39041</v>
      </c>
      <c r="R10" s="22">
        <f t="shared" si="3"/>
        <v>9570</v>
      </c>
      <c r="S10" s="22">
        <f t="shared" si="3"/>
        <v>24955</v>
      </c>
      <c r="T10" s="20">
        <f t="shared" si="3"/>
        <v>-7.378838963561507E-3</v>
      </c>
      <c r="U10" s="20">
        <f t="shared" si="3"/>
        <v>-7.2857633319046711E-3</v>
      </c>
      <c r="V10" s="20">
        <f t="shared" si="3"/>
        <v>-5.1146452727077185E-3</v>
      </c>
      <c r="W10" s="20">
        <f t="shared" si="3"/>
        <v>-7.0499187588579093E-3</v>
      </c>
      <c r="X10" s="20">
        <f t="shared" si="3"/>
        <v>-3.3996459154078673E-4</v>
      </c>
      <c r="Z10" s="6" t="s">
        <v>2380</v>
      </c>
      <c r="AA10" s="6"/>
      <c r="AB10" s="6"/>
      <c r="AC10" s="6"/>
      <c r="AD10" s="14" t="s">
        <v>2381</v>
      </c>
      <c r="AE10" s="6"/>
      <c r="AF10" s="6"/>
    </row>
    <row r="11" spans="1:32" hidden="1" x14ac:dyDescent="0.35">
      <c r="A11" s="8" t="s">
        <v>2355</v>
      </c>
      <c r="B11" s="8">
        <v>5688189</v>
      </c>
      <c r="C11" s="8">
        <v>3499676</v>
      </c>
      <c r="D11" s="8">
        <v>3221049</v>
      </c>
      <c r="E11" s="8">
        <v>2966751</v>
      </c>
      <c r="F11" s="8">
        <v>2178655</v>
      </c>
      <c r="G11" s="8">
        <v>1189794</v>
      </c>
      <c r="H11" s="9">
        <v>0.61525311483145162</v>
      </c>
      <c r="I11" s="9">
        <v>0.56626968618658768</v>
      </c>
      <c r="J11" s="9">
        <v>0.52156336577423856</v>
      </c>
      <c r="K11" s="9">
        <v>0.38301382039169235</v>
      </c>
      <c r="L11" s="9">
        <v>0.20916921009481226</v>
      </c>
      <c r="N11" s="22">
        <f t="shared" si="3"/>
        <v>0</v>
      </c>
      <c r="O11" s="22">
        <f t="shared" si="3"/>
        <v>-49314</v>
      </c>
      <c r="P11" s="22">
        <f t="shared" si="3"/>
        <v>-52524</v>
      </c>
      <c r="Q11" s="22">
        <f t="shared" si="3"/>
        <v>-37115</v>
      </c>
      <c r="R11" s="22">
        <f t="shared" si="3"/>
        <v>625</v>
      </c>
      <c r="S11" s="22">
        <f t="shared" si="3"/>
        <v>22797</v>
      </c>
      <c r="T11" s="20">
        <f t="shared" si="3"/>
        <v>-8.6695431533656553E-3</v>
      </c>
      <c r="U11" s="20">
        <f t="shared" si="3"/>
        <v>-9.2338703935470612E-3</v>
      </c>
      <c r="V11" s="20">
        <f t="shared" si="3"/>
        <v>-6.5249238377980134E-3</v>
      </c>
      <c r="W11" s="20">
        <f t="shared" si="3"/>
        <v>1.0987679910073878E-4</v>
      </c>
      <c r="X11" s="20">
        <f t="shared" si="3"/>
        <v>4.0077782225590441E-3</v>
      </c>
    </row>
    <row r="12" spans="1:32" hidden="1" x14ac:dyDescent="0.35">
      <c r="A12" s="8" t="s">
        <v>2356</v>
      </c>
      <c r="B12" s="8">
        <v>5556761</v>
      </c>
      <c r="C12" s="8">
        <v>3505920</v>
      </c>
      <c r="D12" s="8">
        <v>3174308</v>
      </c>
      <c r="E12" s="8">
        <v>2939017</v>
      </c>
      <c r="F12" s="8">
        <v>2108729</v>
      </c>
      <c r="G12" s="8"/>
      <c r="H12" s="9">
        <v>0.63092870109043742</v>
      </c>
      <c r="I12" s="9">
        <v>0.57125148985173202</v>
      </c>
      <c r="J12" s="9">
        <v>0.52890829747761325</v>
      </c>
      <c r="K12" s="9">
        <v>0.37948887850314239</v>
      </c>
      <c r="L12" s="9">
        <v>0</v>
      </c>
      <c r="N12" s="22">
        <f t="shared" si="3"/>
        <v>0</v>
      </c>
      <c r="O12" s="22">
        <f t="shared" si="3"/>
        <v>-43512</v>
      </c>
      <c r="P12" s="22">
        <f t="shared" si="3"/>
        <v>-46774</v>
      </c>
      <c r="Q12" s="22">
        <f t="shared" si="3"/>
        <v>-47732</v>
      </c>
      <c r="R12" s="22">
        <f t="shared" si="3"/>
        <v>-8217</v>
      </c>
      <c r="S12" s="22">
        <f t="shared" si="3"/>
        <v>0</v>
      </c>
      <c r="T12" s="20">
        <f t="shared" si="3"/>
        <v>-7.8304609465837949E-3</v>
      </c>
      <c r="U12" s="20">
        <f t="shared" si="3"/>
        <v>-8.4174935722447497E-3</v>
      </c>
      <c r="V12" s="20">
        <f t="shared" si="3"/>
        <v>-8.5898961643302574E-3</v>
      </c>
      <c r="W12" s="20">
        <f t="shared" si="3"/>
        <v>-1.4787391431806962E-3</v>
      </c>
      <c r="X12" s="20">
        <f t="shared" si="3"/>
        <v>0</v>
      </c>
      <c r="AD12" s="14" t="s">
        <v>2384</v>
      </c>
    </row>
    <row r="13" spans="1:32" hidden="1" x14ac:dyDescent="0.35">
      <c r="A13" s="10"/>
      <c r="B13" s="10"/>
      <c r="C13" s="12"/>
      <c r="D13" s="10"/>
      <c r="E13" s="10"/>
      <c r="F13" s="10"/>
      <c r="G13" s="10"/>
      <c r="H13" s="10"/>
      <c r="I13" s="10"/>
      <c r="J13" s="10"/>
      <c r="K13" s="10"/>
      <c r="L13" s="10"/>
    </row>
    <row r="14" spans="1:32" hidden="1" x14ac:dyDescent="0.35">
      <c r="A14" s="13" t="s">
        <v>2373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32" hidden="1" x14ac:dyDescent="0.35">
      <c r="A15" s="7" t="s">
        <v>2360</v>
      </c>
      <c r="B15" s="7" t="s">
        <v>2361</v>
      </c>
      <c r="C15" s="7" t="s">
        <v>2362</v>
      </c>
      <c r="D15" s="7" t="s">
        <v>2363</v>
      </c>
      <c r="E15" s="7" t="s">
        <v>2364</v>
      </c>
      <c r="F15" s="7" t="s">
        <v>2365</v>
      </c>
      <c r="G15" s="7" t="s">
        <v>2366</v>
      </c>
      <c r="H15" s="7" t="s">
        <v>2367</v>
      </c>
      <c r="I15" s="7" t="s">
        <v>2368</v>
      </c>
      <c r="J15" s="7" t="s">
        <v>2369</v>
      </c>
      <c r="K15" s="7" t="s">
        <v>2370</v>
      </c>
      <c r="L15" s="7" t="s">
        <v>2371</v>
      </c>
    </row>
    <row r="16" spans="1:32" hidden="1" x14ac:dyDescent="0.35">
      <c r="A16" s="8" t="s">
        <v>2354</v>
      </c>
      <c r="B16" s="8">
        <v>19436255</v>
      </c>
      <c r="C16" s="8">
        <v>6087853</v>
      </c>
      <c r="D16" s="8">
        <v>5037661</v>
      </c>
      <c r="E16" s="8">
        <v>4077401</v>
      </c>
      <c r="F16" s="8">
        <v>2389720</v>
      </c>
      <c r="G16" s="8">
        <v>1186619</v>
      </c>
      <c r="H16" s="9">
        <v>0.31322150280493849</v>
      </c>
      <c r="I16" s="9">
        <v>0.25918887151871595</v>
      </c>
      <c r="J16" s="9">
        <v>0.209783263288118</v>
      </c>
      <c r="K16" s="9">
        <v>0.12295166944455092</v>
      </c>
      <c r="L16" s="9">
        <v>6.1051833287842742E-2</v>
      </c>
      <c r="N16" s="28">
        <f>B33-B16</f>
        <v>-137894</v>
      </c>
      <c r="O16" s="22">
        <f>C33-C16</f>
        <v>-120117</v>
      </c>
      <c r="P16" s="22">
        <f t="shared" ref="P16:X16" si="4">D33-D16</f>
        <v>-124330</v>
      </c>
      <c r="Q16" s="22">
        <f t="shared" si="4"/>
        <v>4804</v>
      </c>
      <c r="R16" s="22">
        <f t="shared" si="4"/>
        <v>-27420</v>
      </c>
      <c r="S16" s="22">
        <f t="shared" si="4"/>
        <v>8470</v>
      </c>
      <c r="T16" s="20">
        <f>H33-H16</f>
        <v>-3.9861226604795963E-3</v>
      </c>
      <c r="U16" s="20">
        <f t="shared" si="4"/>
        <v>-4.5905146945275921E-3</v>
      </c>
      <c r="V16" s="20">
        <f t="shared" si="4"/>
        <v>1.7479128568406443E-3</v>
      </c>
      <c r="W16" s="20">
        <f t="shared" si="4"/>
        <v>-5.4231043214567065E-4</v>
      </c>
      <c r="X16" s="20">
        <f t="shared" si="4"/>
        <v>8.7513553609002565E-4</v>
      </c>
    </row>
    <row r="17" spans="1:24" hidden="1" x14ac:dyDescent="0.35">
      <c r="A17" s="8" t="s">
        <v>2355</v>
      </c>
      <c r="B17" s="8">
        <v>19413615</v>
      </c>
      <c r="C17" s="8">
        <v>6167926</v>
      </c>
      <c r="D17" s="8">
        <v>5207135</v>
      </c>
      <c r="E17" s="8">
        <v>4223738</v>
      </c>
      <c r="F17" s="8">
        <v>2429401</v>
      </c>
      <c r="G17" s="8">
        <v>1277257</v>
      </c>
      <c r="H17" s="9">
        <v>0.31771135875518292</v>
      </c>
      <c r="I17" s="9">
        <v>0.2682207821675664</v>
      </c>
      <c r="J17" s="9">
        <v>0.21756576505715189</v>
      </c>
      <c r="K17" s="9">
        <v>0.12513903258100051</v>
      </c>
      <c r="L17" s="9">
        <v>6.5791816722439375E-2</v>
      </c>
      <c r="N17" s="22">
        <f t="shared" ref="N17" si="5">B34-B17</f>
        <v>0</v>
      </c>
      <c r="O17" s="22">
        <f t="shared" ref="O17:O18" si="6">C34-C17</f>
        <v>-32399</v>
      </c>
      <c r="P17" s="22">
        <f t="shared" ref="P17:P18" si="7">D34-D17</f>
        <v>-45570</v>
      </c>
      <c r="Q17" s="22">
        <f t="shared" ref="Q17:Q18" si="8">E34-E17</f>
        <v>63089</v>
      </c>
      <c r="R17" s="22">
        <f t="shared" ref="R17:R18" si="9">F34-F17</f>
        <v>23226</v>
      </c>
      <c r="S17" s="22">
        <f t="shared" ref="S17:S18" si="10">G34-G17</f>
        <v>26520</v>
      </c>
      <c r="T17" s="20">
        <f t="shared" ref="T17:T18" si="11">H34-H17</f>
        <v>-1.6688803193016799E-3</v>
      </c>
      <c r="U17" s="20">
        <f t="shared" ref="U17:U18" si="12">I34-I17</f>
        <v>-2.3473217121076639E-3</v>
      </c>
      <c r="V17" s="20">
        <f t="shared" ref="V17:V18" si="13">J34-J17</f>
        <v>3.2497296356191474E-3</v>
      </c>
      <c r="W17" s="20">
        <f t="shared" ref="W17:W18" si="14">K34-K17</f>
        <v>1.1963768726226398E-3</v>
      </c>
      <c r="X17" s="20">
        <f t="shared" ref="X17:X18" si="15">L34-L17</f>
        <v>1.3660516086262259E-3</v>
      </c>
    </row>
    <row r="18" spans="1:24" hidden="1" x14ac:dyDescent="0.35">
      <c r="A18" s="8" t="s">
        <v>2356</v>
      </c>
      <c r="B18" s="8">
        <v>19309996</v>
      </c>
      <c r="C18" s="8">
        <v>6351002</v>
      </c>
      <c r="D18" s="8">
        <v>5124149</v>
      </c>
      <c r="E18" s="8">
        <v>4144181</v>
      </c>
      <c r="F18" s="8">
        <v>2382059</v>
      </c>
      <c r="G18" s="8">
        <v>0</v>
      </c>
      <c r="H18" s="9">
        <v>0.32889711629147927</v>
      </c>
      <c r="I18" s="9">
        <v>0.26536250965562086</v>
      </c>
      <c r="J18" s="9">
        <v>0.21461325004935267</v>
      </c>
      <c r="K18" s="9">
        <v>0.12335885517531955</v>
      </c>
      <c r="L18" s="9">
        <v>0</v>
      </c>
      <c r="N18" s="22">
        <f>B35-B18</f>
        <v>0</v>
      </c>
      <c r="O18" s="22">
        <f t="shared" si="6"/>
        <v>1085</v>
      </c>
      <c r="P18" s="22">
        <f t="shared" si="7"/>
        <v>-37999</v>
      </c>
      <c r="Q18" s="22">
        <f t="shared" si="8"/>
        <v>-43188</v>
      </c>
      <c r="R18" s="22">
        <f t="shared" si="9"/>
        <v>10639</v>
      </c>
      <c r="S18" s="22">
        <f t="shared" si="10"/>
        <v>0</v>
      </c>
      <c r="T18" s="20">
        <f t="shared" si="11"/>
        <v>5.6188515005384243E-5</v>
      </c>
      <c r="U18" s="20">
        <f t="shared" si="12"/>
        <v>-1.9678409047831913E-3</v>
      </c>
      <c r="V18" s="20">
        <f t="shared" si="13"/>
        <v>-2.236561830463335E-3</v>
      </c>
      <c r="W18" s="20">
        <f t="shared" si="14"/>
        <v>5.5095816695147071E-4</v>
      </c>
      <c r="X18" s="20">
        <f t="shared" si="15"/>
        <v>0</v>
      </c>
    </row>
    <row r="20" spans="1:24" x14ac:dyDescent="0.35">
      <c r="A20" s="51" t="s">
        <v>2434</v>
      </c>
    </row>
    <row r="21" spans="1:24" x14ac:dyDescent="0.35">
      <c r="A21" s="18" t="s">
        <v>2379</v>
      </c>
      <c r="B21" s="7" t="s">
        <v>2361</v>
      </c>
      <c r="C21" s="7" t="s">
        <v>2362</v>
      </c>
      <c r="D21" s="7" t="s">
        <v>2363</v>
      </c>
      <c r="E21" s="7" t="s">
        <v>2364</v>
      </c>
      <c r="F21" s="7" t="s">
        <v>2365</v>
      </c>
      <c r="G21" s="7" t="s">
        <v>2366</v>
      </c>
      <c r="H21" s="7" t="s">
        <v>2367</v>
      </c>
      <c r="I21" s="7" t="s">
        <v>2368</v>
      </c>
      <c r="J21" s="7" t="s">
        <v>2369</v>
      </c>
      <c r="K21" s="7" t="s">
        <v>2370</v>
      </c>
      <c r="L21" s="7" t="s">
        <v>2371</v>
      </c>
    </row>
    <row r="22" spans="1:24" x14ac:dyDescent="0.35">
      <c r="A22" s="19" t="s">
        <v>2354</v>
      </c>
      <c r="B22" s="19">
        <v>24998823</v>
      </c>
      <c r="C22" s="19">
        <v>9285735</v>
      </c>
      <c r="D22" s="19">
        <v>7924230</v>
      </c>
      <c r="E22" s="19">
        <v>6872269</v>
      </c>
      <c r="F22" s="19">
        <v>4379072</v>
      </c>
      <c r="G22" s="19">
        <v>2304891</v>
      </c>
      <c r="H22" s="20">
        <f>C22/$B22</f>
        <v>0.37144688771947382</v>
      </c>
      <c r="I22" s="20">
        <f t="shared" ref="I22:L22" si="16">D22/$B22</f>
        <v>0.31698412361253969</v>
      </c>
      <c r="J22" s="20">
        <f t="shared" si="16"/>
        <v>0.27490370246631213</v>
      </c>
      <c r="K22" s="20">
        <f t="shared" si="16"/>
        <v>0.17517112705666182</v>
      </c>
      <c r="L22" s="20">
        <f t="shared" si="16"/>
        <v>9.2199980775094892E-2</v>
      </c>
    </row>
    <row r="23" spans="1:24" x14ac:dyDescent="0.35">
      <c r="A23" s="19" t="s">
        <v>2355</v>
      </c>
      <c r="B23" s="19">
        <v>25101804</v>
      </c>
      <c r="C23" s="19">
        <v>9585889</v>
      </c>
      <c r="D23" s="19">
        <v>8330090</v>
      </c>
      <c r="E23" s="19">
        <v>7216463</v>
      </c>
      <c r="F23" s="19">
        <v>4631907</v>
      </c>
      <c r="G23" s="19">
        <v>2516368</v>
      </c>
      <c r="H23" s="20">
        <f t="shared" ref="H23:H24" si="17">C23/$B23</f>
        <v>0.38188048157813675</v>
      </c>
      <c r="I23" s="20">
        <f t="shared" ref="I23:I24" si="18">D23/$B23</f>
        <v>0.33185224456377715</v>
      </c>
      <c r="J23" s="20">
        <f t="shared" ref="J23:J24" si="19">E23/$B23</f>
        <v>0.28748782358431291</v>
      </c>
      <c r="K23" s="20">
        <f t="shared" ref="K23:K24" si="20">F23/$B23</f>
        <v>0.18452486522482608</v>
      </c>
      <c r="L23" s="20">
        <f t="shared" ref="L23:L24" si="21">G23/$B23</f>
        <v>0.10024650021169793</v>
      </c>
    </row>
    <row r="24" spans="1:24" x14ac:dyDescent="0.35">
      <c r="A24" s="19" t="s">
        <v>2356</v>
      </c>
      <c r="B24" s="19">
        <v>24866757</v>
      </c>
      <c r="C24" s="19">
        <v>9814495</v>
      </c>
      <c r="D24" s="19">
        <v>8213684</v>
      </c>
      <c r="E24" s="19">
        <v>6992278</v>
      </c>
      <c r="F24" s="19">
        <v>4493210</v>
      </c>
      <c r="G24" s="19">
        <v>0</v>
      </c>
      <c r="H24" s="20">
        <f t="shared" si="17"/>
        <v>0.39468335175350772</v>
      </c>
      <c r="I24" s="20">
        <f t="shared" si="18"/>
        <v>0.33030780813115279</v>
      </c>
      <c r="J24" s="20">
        <f t="shared" si="19"/>
        <v>0.28118978280923401</v>
      </c>
      <c r="K24" s="20">
        <f t="shared" si="20"/>
        <v>0.18069143475363514</v>
      </c>
      <c r="L24" s="20">
        <f t="shared" si="21"/>
        <v>0</v>
      </c>
      <c r="N24" s="5">
        <f>B24-B25</f>
        <v>1082</v>
      </c>
      <c r="O24" s="5">
        <f>C24-C25</f>
        <v>-10755</v>
      </c>
    </row>
    <row r="25" spans="1:24" x14ac:dyDescent="0.35">
      <c r="A25" s="83" t="s">
        <v>2435</v>
      </c>
      <c r="B25" s="83">
        <v>24865675</v>
      </c>
      <c r="C25" s="83">
        <f>C31+C36</f>
        <v>9825250</v>
      </c>
    </row>
    <row r="27" spans="1:24" x14ac:dyDescent="0.35">
      <c r="A27" s="18" t="s">
        <v>2382</v>
      </c>
      <c r="B27" s="7" t="s">
        <v>2361</v>
      </c>
      <c r="C27" s="7" t="s">
        <v>2362</v>
      </c>
      <c r="D27" s="7" t="s">
        <v>2363</v>
      </c>
      <c r="E27" s="7" t="s">
        <v>2364</v>
      </c>
      <c r="F27" s="7" t="s">
        <v>2365</v>
      </c>
      <c r="G27" s="7" t="s">
        <v>2366</v>
      </c>
      <c r="H27" s="7" t="s">
        <v>2367</v>
      </c>
      <c r="I27" s="7" t="s">
        <v>2368</v>
      </c>
      <c r="J27" s="7" t="s">
        <v>2369</v>
      </c>
      <c r="K27" s="7" t="s">
        <v>2370</v>
      </c>
      <c r="L27" s="7" t="s">
        <v>2371</v>
      </c>
    </row>
    <row r="28" spans="1:24" x14ac:dyDescent="0.35">
      <c r="A28" s="19" t="s">
        <v>2354</v>
      </c>
      <c r="B28" s="19">
        <v>5700462</v>
      </c>
      <c r="C28" s="19">
        <v>3317999</v>
      </c>
      <c r="D28" s="19">
        <v>3010899</v>
      </c>
      <c r="E28" s="19">
        <v>2790064</v>
      </c>
      <c r="F28" s="19">
        <v>2016772</v>
      </c>
      <c r="G28" s="19">
        <v>1109802</v>
      </c>
      <c r="H28" s="20">
        <f>C28/$B28</f>
        <v>0.58205791039392951</v>
      </c>
      <c r="I28" s="20">
        <f t="shared" ref="I28:I30" si="22">D28/$B28</f>
        <v>0.52818508394582753</v>
      </c>
      <c r="J28" s="20">
        <f t="shared" ref="J28:J30" si="23">E28/$B28</f>
        <v>0.48944524145586799</v>
      </c>
      <c r="K28" s="20">
        <f t="shared" ref="K28:K30" si="24">F28/$B28</f>
        <v>0.35379097343338134</v>
      </c>
      <c r="L28" s="20">
        <f t="shared" ref="L28:L30" si="25">G28/$B28</f>
        <v>0.19468632542414982</v>
      </c>
    </row>
    <row r="29" spans="1:24" x14ac:dyDescent="0.35">
      <c r="A29" s="19" t="s">
        <v>2355</v>
      </c>
      <c r="B29" s="19">
        <v>5688189</v>
      </c>
      <c r="C29" s="19">
        <v>3450362</v>
      </c>
      <c r="D29" s="19">
        <v>3168525</v>
      </c>
      <c r="E29" s="19">
        <v>2929636</v>
      </c>
      <c r="F29" s="19">
        <v>2179280</v>
      </c>
      <c r="G29" s="19">
        <v>1212591</v>
      </c>
      <c r="H29" s="20">
        <f>C29/$B29</f>
        <v>0.60658357167808596</v>
      </c>
      <c r="I29" s="20">
        <f>D29/$B29</f>
        <v>0.55703581579304062</v>
      </c>
      <c r="J29" s="20">
        <f t="shared" si="23"/>
        <v>0.51503844193644055</v>
      </c>
      <c r="K29" s="20">
        <f t="shared" si="24"/>
        <v>0.38312369719079309</v>
      </c>
      <c r="L29" s="20">
        <f t="shared" si="25"/>
        <v>0.21317698831737131</v>
      </c>
    </row>
    <row r="30" spans="1:24" x14ac:dyDescent="0.35">
      <c r="A30" s="19" t="s">
        <v>2356</v>
      </c>
      <c r="B30" s="19">
        <v>5556761</v>
      </c>
      <c r="C30" s="19">
        <v>3462408</v>
      </c>
      <c r="D30" s="19">
        <v>3127534</v>
      </c>
      <c r="E30" s="19">
        <v>2891285</v>
      </c>
      <c r="F30" s="19">
        <v>2100512</v>
      </c>
      <c r="G30" s="19">
        <v>0</v>
      </c>
      <c r="H30" s="20">
        <f t="shared" ref="H30" si="26">C30/$B30</f>
        <v>0.62309824014385362</v>
      </c>
      <c r="I30" s="20">
        <f t="shared" si="22"/>
        <v>0.56283399627948727</v>
      </c>
      <c r="J30" s="20">
        <f t="shared" si="23"/>
        <v>0.520318401313283</v>
      </c>
      <c r="K30" s="20">
        <f t="shared" si="24"/>
        <v>0.37801013935996169</v>
      </c>
      <c r="L30" s="20">
        <f t="shared" si="25"/>
        <v>0</v>
      </c>
      <c r="N30" s="5">
        <f>B30-B31</f>
        <v>17</v>
      </c>
      <c r="O30" s="5">
        <f>C30-C31</f>
        <v>-75</v>
      </c>
    </row>
    <row r="31" spans="1:24" x14ac:dyDescent="0.35">
      <c r="A31" s="84" t="s">
        <v>2435</v>
      </c>
      <c r="B31" s="84">
        <v>5556744</v>
      </c>
      <c r="C31" s="84">
        <v>3462483</v>
      </c>
    </row>
    <row r="32" spans="1:24" x14ac:dyDescent="0.35">
      <c r="A32" s="18" t="s">
        <v>2383</v>
      </c>
      <c r="B32" s="21" t="s">
        <v>2361</v>
      </c>
      <c r="C32" s="21" t="s">
        <v>2362</v>
      </c>
      <c r="D32" s="21" t="s">
        <v>2363</v>
      </c>
      <c r="E32" s="21" t="s">
        <v>2364</v>
      </c>
      <c r="F32" s="21" t="s">
        <v>2365</v>
      </c>
      <c r="G32" s="21" t="s">
        <v>2366</v>
      </c>
      <c r="H32" s="21" t="s">
        <v>2367</v>
      </c>
      <c r="I32" s="21" t="s">
        <v>2368</v>
      </c>
      <c r="J32" s="21" t="s">
        <v>2369</v>
      </c>
      <c r="K32" s="21" t="s">
        <v>2370</v>
      </c>
      <c r="L32" s="21" t="s">
        <v>2371</v>
      </c>
    </row>
    <row r="33" spans="1:15" x14ac:dyDescent="0.35">
      <c r="A33" s="19" t="s">
        <v>2354</v>
      </c>
      <c r="B33" s="19">
        <v>19298361</v>
      </c>
      <c r="C33" s="19">
        <v>5967736</v>
      </c>
      <c r="D33" s="19">
        <v>4913331</v>
      </c>
      <c r="E33" s="19">
        <v>4082205</v>
      </c>
      <c r="F33" s="19">
        <v>2362300</v>
      </c>
      <c r="G33" s="19">
        <v>1195089</v>
      </c>
      <c r="H33" s="20">
        <f>C33/$B33</f>
        <v>0.30923538014445889</v>
      </c>
      <c r="I33" s="20">
        <f t="shared" ref="I33" si="27">D33/$B33</f>
        <v>0.25459835682418835</v>
      </c>
      <c r="J33" s="20">
        <f t="shared" ref="J33:J35" si="28">E33/$B33</f>
        <v>0.21153117614495864</v>
      </c>
      <c r="K33" s="20">
        <f t="shared" ref="K33:K35" si="29">F33/$B33</f>
        <v>0.12240935901240525</v>
      </c>
      <c r="L33" s="20">
        <f t="shared" ref="L33:L35" si="30">G33/$B33</f>
        <v>6.1926968823932768E-2</v>
      </c>
    </row>
    <row r="34" spans="1:15" x14ac:dyDescent="0.35">
      <c r="A34" s="19" t="s">
        <v>2355</v>
      </c>
      <c r="B34" s="19">
        <v>19413615</v>
      </c>
      <c r="C34" s="19">
        <v>6135527</v>
      </c>
      <c r="D34" s="19">
        <v>5161565</v>
      </c>
      <c r="E34" s="19">
        <v>4286827</v>
      </c>
      <c r="F34" s="19">
        <v>2452627</v>
      </c>
      <c r="G34" s="19">
        <v>1303777</v>
      </c>
      <c r="H34" s="20">
        <f>C34/$B34</f>
        <v>0.31604247843588124</v>
      </c>
      <c r="I34" s="20">
        <f>D34/$B34</f>
        <v>0.26587346045545873</v>
      </c>
      <c r="J34" s="20">
        <f>E34/$B34</f>
        <v>0.22081549469277104</v>
      </c>
      <c r="K34" s="20">
        <f t="shared" si="29"/>
        <v>0.12633540945362315</v>
      </c>
      <c r="L34" s="20">
        <f t="shared" si="30"/>
        <v>6.7157868331065601E-2</v>
      </c>
    </row>
    <row r="35" spans="1:15" x14ac:dyDescent="0.35">
      <c r="A35" s="19" t="s">
        <v>2356</v>
      </c>
      <c r="B35" s="19">
        <v>19309996</v>
      </c>
      <c r="C35" s="19">
        <v>6352087</v>
      </c>
      <c r="D35" s="19">
        <v>5086150</v>
      </c>
      <c r="E35" s="19">
        <v>4100993</v>
      </c>
      <c r="F35" s="19">
        <v>2392698</v>
      </c>
      <c r="G35" s="19">
        <v>0</v>
      </c>
      <c r="H35" s="20">
        <f t="shared" ref="H35" si="31">C35/$B35</f>
        <v>0.32895330480648466</v>
      </c>
      <c r="I35" s="20">
        <f t="shared" ref="I35" si="32">D35/$B35</f>
        <v>0.26339466875083767</v>
      </c>
      <c r="J35" s="20">
        <f t="shared" si="28"/>
        <v>0.21237668821888933</v>
      </c>
      <c r="K35" s="20">
        <f t="shared" si="29"/>
        <v>0.12390981334227102</v>
      </c>
      <c r="L35" s="20">
        <f t="shared" si="30"/>
        <v>0</v>
      </c>
      <c r="N35" s="5">
        <f>B35-B36</f>
        <v>1065</v>
      </c>
      <c r="O35" s="5">
        <f>C35-C36</f>
        <v>-10680</v>
      </c>
    </row>
    <row r="36" spans="1:15" x14ac:dyDescent="0.35">
      <c r="A36" s="85" t="s">
        <v>2435</v>
      </c>
      <c r="B36" s="85">
        <v>19308931</v>
      </c>
      <c r="C36" s="86">
        <v>6362767</v>
      </c>
    </row>
    <row r="37" spans="1:15" x14ac:dyDescent="0.35">
      <c r="I37" s="27"/>
      <c r="J37" s="27"/>
      <c r="K37" s="27"/>
      <c r="L37" s="27"/>
    </row>
    <row r="38" spans="1:15" hidden="1" x14ac:dyDescent="0.35">
      <c r="C38" s="78">
        <f>$G$33/C33</f>
        <v>0.20025835593263508</v>
      </c>
      <c r="D38" s="78">
        <f t="shared" ref="D38:G38" si="33">$G$33/D33</f>
        <v>0.24323396897135569</v>
      </c>
      <c r="E38" s="78">
        <f t="shared" si="33"/>
        <v>0.29275575332449005</v>
      </c>
      <c r="F38" s="78">
        <f t="shared" si="33"/>
        <v>0.50590060534225123</v>
      </c>
      <c r="G38" s="78">
        <f t="shared" si="33"/>
        <v>1</v>
      </c>
      <c r="I38" s="27"/>
      <c r="J38" s="27"/>
      <c r="K38" s="27"/>
      <c r="L38" s="27"/>
    </row>
    <row r="39" spans="1:15" hidden="1" x14ac:dyDescent="0.35">
      <c r="C39" s="78">
        <f>$G$34/C34</f>
        <v>0.21249633487066391</v>
      </c>
      <c r="D39" s="78">
        <f t="shared" ref="D39:G39" si="34">$G$34/D34</f>
        <v>0.25259335104759895</v>
      </c>
      <c r="E39" s="78">
        <f t="shared" si="34"/>
        <v>0.30413566957565585</v>
      </c>
      <c r="F39" s="78">
        <f t="shared" si="34"/>
        <v>0.53158388943773349</v>
      </c>
      <c r="G39" s="78">
        <f t="shared" si="34"/>
        <v>1</v>
      </c>
      <c r="I39" s="27"/>
      <c r="J39" s="27"/>
      <c r="K39" s="27"/>
      <c r="L39" s="27"/>
    </row>
    <row r="40" spans="1:15" hidden="1" x14ac:dyDescent="0.35">
      <c r="C40" s="78"/>
      <c r="D40" s="78"/>
      <c r="E40" s="78"/>
      <c r="F40" s="78"/>
      <c r="G40" s="78"/>
    </row>
    <row r="41" spans="1:15" hidden="1" x14ac:dyDescent="0.35">
      <c r="B41" t="s">
        <v>2421</v>
      </c>
      <c r="D41" t="s">
        <v>2444</v>
      </c>
      <c r="E41" t="s">
        <v>2445</v>
      </c>
    </row>
    <row r="42" spans="1:15" hidden="1" x14ac:dyDescent="0.35">
      <c r="A42" t="s">
        <v>2443</v>
      </c>
      <c r="B42" s="19">
        <v>19298361</v>
      </c>
      <c r="C42" s="19">
        <v>5967736</v>
      </c>
      <c r="D42">
        <f>C33-D33</f>
        <v>1054405</v>
      </c>
      <c r="E42" s="67">
        <f>D33-E33</f>
        <v>831126</v>
      </c>
      <c r="F42" s="67">
        <f>E33-F33</f>
        <v>1719905</v>
      </c>
      <c r="G42" s="67">
        <f>F33-G33</f>
        <v>1167211</v>
      </c>
      <c r="H42" s="80">
        <f>G33</f>
        <v>1195089</v>
      </c>
    </row>
    <row r="43" spans="1:15" hidden="1" x14ac:dyDescent="0.35">
      <c r="D43" s="78">
        <f>D42/$C$42</f>
        <v>0.17668425681028785</v>
      </c>
      <c r="E43" s="78">
        <f>E42/$C$42</f>
        <v>0.13926990067925257</v>
      </c>
      <c r="F43" s="78">
        <f>F42/$C$42</f>
        <v>0.28820058394004022</v>
      </c>
      <c r="G43" s="78">
        <f>G42/$C$42</f>
        <v>0.19558690263778425</v>
      </c>
      <c r="H43" s="78">
        <f t="shared" ref="H43" si="35">H42/$C$42</f>
        <v>0.20025835593263508</v>
      </c>
    </row>
    <row r="44" spans="1:15" hidden="1" x14ac:dyDescent="0.35">
      <c r="D44" s="15"/>
      <c r="E44" s="15"/>
      <c r="F44" s="15"/>
      <c r="G44" s="15"/>
      <c r="H44" s="15"/>
    </row>
    <row r="45" spans="1:15" hidden="1" x14ac:dyDescent="0.35"/>
    <row r="46" spans="1:15" hidden="1" x14ac:dyDescent="0.35">
      <c r="D46" s="68">
        <f>D33/C33</f>
        <v>0.82331574318971212</v>
      </c>
      <c r="E46" s="68">
        <f t="shared" ref="E46:G46" si="36">E33/D33</f>
        <v>0.83084266050872613</v>
      </c>
      <c r="F46" s="68">
        <f t="shared" si="36"/>
        <v>0.57868235426687298</v>
      </c>
      <c r="G46" s="68">
        <f t="shared" si="36"/>
        <v>0.50590060534225123</v>
      </c>
    </row>
    <row r="47" spans="1:15" hidden="1" x14ac:dyDescent="0.35"/>
    <row r="48" spans="1:15" hidden="1" x14ac:dyDescent="0.35"/>
    <row r="49" spans="2:12" hidden="1" x14ac:dyDescent="0.35"/>
    <row r="50" spans="2:12" hidden="1" x14ac:dyDescent="0.35"/>
    <row r="52" spans="2:12" x14ac:dyDescent="0.35">
      <c r="B52" s="121"/>
      <c r="C52" s="121"/>
      <c r="D52" s="121"/>
      <c r="E52" s="121"/>
      <c r="F52" s="121"/>
      <c r="G52" s="121"/>
      <c r="H52" s="78"/>
      <c r="I52" s="78"/>
      <c r="J52" s="78"/>
      <c r="K52" s="78"/>
      <c r="L52" s="78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552C-A415-4457-AD0C-DC3B823D063B}">
  <dimension ref="A1:R32"/>
  <sheetViews>
    <sheetView tabSelected="1" zoomScale="80" zoomScaleNormal="80" workbookViewId="0">
      <selection activeCell="G20" sqref="G20"/>
    </sheetView>
  </sheetViews>
  <sheetFormatPr defaultRowHeight="14.5" x14ac:dyDescent="0.35"/>
  <cols>
    <col min="1" max="1" width="7.81640625" bestFit="1" customWidth="1"/>
    <col min="2" max="2" width="18.453125" bestFit="1" customWidth="1"/>
    <col min="6" max="6" width="22.26953125" bestFit="1" customWidth="1"/>
    <col min="7" max="7" width="19" bestFit="1" customWidth="1"/>
    <col min="8" max="8" width="15.54296875" bestFit="1" customWidth="1"/>
    <col min="9" max="9" width="18.7265625" bestFit="1" customWidth="1"/>
    <col min="10" max="10" width="12.90625" bestFit="1" customWidth="1"/>
    <col min="11" max="11" width="16.54296875" bestFit="1" customWidth="1"/>
    <col min="12" max="12" width="19.7265625" bestFit="1" customWidth="1"/>
    <col min="14" max="14" width="19" bestFit="1" customWidth="1"/>
    <col min="15" max="15" width="12.26953125" bestFit="1" customWidth="1"/>
  </cols>
  <sheetData>
    <row r="1" spans="1:18" x14ac:dyDescent="0.35">
      <c r="A1" s="25" t="s">
        <v>2390</v>
      </c>
      <c r="B1" s="2" t="s">
        <v>43</v>
      </c>
      <c r="C1" s="26" t="s">
        <v>2390</v>
      </c>
      <c r="F1" s="3" t="s">
        <v>12</v>
      </c>
      <c r="G1" s="121" t="s">
        <v>2385</v>
      </c>
    </row>
    <row r="2" spans="1:18" x14ac:dyDescent="0.35">
      <c r="A2" s="25" t="s">
        <v>2390</v>
      </c>
      <c r="B2" s="2" t="s">
        <v>32</v>
      </c>
      <c r="C2" s="26" t="s">
        <v>2390</v>
      </c>
      <c r="F2" s="3" t="s">
        <v>9</v>
      </c>
      <c r="G2" s="121" t="s">
        <v>2385</v>
      </c>
    </row>
    <row r="3" spans="1:18" x14ac:dyDescent="0.35">
      <c r="A3" s="25" t="s">
        <v>2390</v>
      </c>
      <c r="B3" s="2" t="s">
        <v>33</v>
      </c>
      <c r="C3" s="26" t="s">
        <v>2390</v>
      </c>
      <c r="N3">
        <v>1000000</v>
      </c>
    </row>
    <row r="4" spans="1:18" x14ac:dyDescent="0.35">
      <c r="A4" s="25" t="s">
        <v>2391</v>
      </c>
      <c r="B4" s="2" t="s">
        <v>38</v>
      </c>
      <c r="C4" s="26" t="s">
        <v>2391</v>
      </c>
      <c r="H4" s="3" t="s">
        <v>2396</v>
      </c>
    </row>
    <row r="5" spans="1:18" ht="15" thickBot="1" x14ac:dyDescent="0.4">
      <c r="A5" s="25" t="s">
        <v>2391</v>
      </c>
      <c r="B5" s="2" t="s">
        <v>40</v>
      </c>
      <c r="C5" s="26" t="s">
        <v>2391</v>
      </c>
      <c r="F5" s="3" t="s">
        <v>2394</v>
      </c>
      <c r="G5" s="3" t="s">
        <v>13</v>
      </c>
      <c r="H5" s="121" t="s">
        <v>2357</v>
      </c>
      <c r="I5" s="121" t="s">
        <v>2386</v>
      </c>
      <c r="J5" s="121" t="s">
        <v>2387</v>
      </c>
      <c r="K5" s="121" t="s">
        <v>2388</v>
      </c>
      <c r="L5" s="121" t="s">
        <v>2389</v>
      </c>
      <c r="N5" s="73" t="s">
        <v>2438</v>
      </c>
      <c r="O5" s="73" t="s">
        <v>2439</v>
      </c>
      <c r="P5" s="73" t="s">
        <v>2440</v>
      </c>
      <c r="Q5" s="73" t="s">
        <v>2441</v>
      </c>
      <c r="R5" s="73" t="s">
        <v>2442</v>
      </c>
    </row>
    <row r="6" spans="1:18" x14ac:dyDescent="0.35">
      <c r="A6" s="25" t="s">
        <v>2391</v>
      </c>
      <c r="B6" s="2" t="s">
        <v>41</v>
      </c>
      <c r="C6" s="26" t="s">
        <v>2391</v>
      </c>
      <c r="F6" s="102" t="s">
        <v>2390</v>
      </c>
      <c r="G6" s="102" t="s">
        <v>43</v>
      </c>
      <c r="H6" s="99">
        <v>94968</v>
      </c>
      <c r="I6" s="53">
        <v>-661945.85779676994</v>
      </c>
      <c r="J6" s="53">
        <v>-6.9701989912051419</v>
      </c>
      <c r="K6" s="54">
        <v>4.9210396675655509E-3</v>
      </c>
      <c r="L6" s="55">
        <v>-3.795740971887696E-4</v>
      </c>
      <c r="N6" s="74">
        <f>(SUM(H6:H8))/1000000</f>
        <v>8.306794</v>
      </c>
      <c r="O6" s="74">
        <f>(SUM(I6:I8))/1000000</f>
        <v>62.337531646598208</v>
      </c>
      <c r="P6" s="73">
        <f t="shared" ref="P6:R6" si="0">SUM(J6:J8)</f>
        <v>12.780717225600261</v>
      </c>
      <c r="Q6" s="75">
        <f t="shared" si="0"/>
        <v>0.43044038817596997</v>
      </c>
      <c r="R6" s="75">
        <f t="shared" si="0"/>
        <v>3.5745691308485338E-2</v>
      </c>
    </row>
    <row r="7" spans="1:18" x14ac:dyDescent="0.35">
      <c r="A7" s="25" t="s">
        <v>2391</v>
      </c>
      <c r="B7" s="2" t="s">
        <v>34</v>
      </c>
      <c r="C7" s="26" t="s">
        <v>2391</v>
      </c>
      <c r="F7" s="103" t="s">
        <v>2390</v>
      </c>
      <c r="G7" s="103" t="s">
        <v>32</v>
      </c>
      <c r="H7" s="100">
        <v>5417639</v>
      </c>
      <c r="I7" s="57">
        <v>16131837.570711</v>
      </c>
      <c r="J7" s="57">
        <v>2.9776508864306019</v>
      </c>
      <c r="K7" s="58">
        <v>0.28073052421394751</v>
      </c>
      <c r="L7" s="59">
        <v>9.2503451902835997E-3</v>
      </c>
      <c r="N7" s="74"/>
      <c r="O7" s="74"/>
      <c r="P7" s="73"/>
      <c r="Q7" s="75"/>
      <c r="R7" s="75"/>
    </row>
    <row r="8" spans="1:18" ht="15" thickBot="1" x14ac:dyDescent="0.4">
      <c r="A8" s="25" t="s">
        <v>2392</v>
      </c>
      <c r="B8" s="2" t="s">
        <v>35</v>
      </c>
      <c r="C8" s="26" t="s">
        <v>2392</v>
      </c>
      <c r="F8" s="104" t="s">
        <v>2390</v>
      </c>
      <c r="G8" s="104" t="s">
        <v>33</v>
      </c>
      <c r="H8" s="101">
        <v>2794187</v>
      </c>
      <c r="I8" s="61">
        <v>46867639.933683977</v>
      </c>
      <c r="J8" s="61">
        <v>16.773265330374802</v>
      </c>
      <c r="K8" s="62">
        <v>0.14478882429445691</v>
      </c>
      <c r="L8" s="63">
        <v>2.6874920215390508E-2</v>
      </c>
      <c r="N8" s="74"/>
      <c r="O8" s="74"/>
      <c r="P8" s="73"/>
      <c r="Q8" s="75"/>
      <c r="R8" s="75"/>
    </row>
    <row r="9" spans="1:18" x14ac:dyDescent="0.35">
      <c r="A9" s="25" t="s">
        <v>2392</v>
      </c>
      <c r="B9" s="2" t="s">
        <v>36</v>
      </c>
      <c r="C9" s="26" t="s">
        <v>2392</v>
      </c>
      <c r="F9" s="103" t="s">
        <v>2391</v>
      </c>
      <c r="G9" s="103" t="s">
        <v>38</v>
      </c>
      <c r="H9" s="100">
        <v>2872645</v>
      </c>
      <c r="I9" s="57">
        <v>104849636.57660869</v>
      </c>
      <c r="J9" s="57">
        <v>36.499336526653551</v>
      </c>
      <c r="K9" s="58">
        <v>0.1488543508953947</v>
      </c>
      <c r="L9" s="59">
        <v>6.0123053381739948E-2</v>
      </c>
      <c r="N9" s="74">
        <f>(SUM(H9:H12))/1000000</f>
        <v>6.9640959999999996</v>
      </c>
      <c r="O9" s="74">
        <f>(SUM(I9:I12))/1000000</f>
        <v>436.36260519357995</v>
      </c>
      <c r="P9" s="73">
        <f t="shared" ref="P9:R9" si="1">SUM(J9:J12)</f>
        <v>296.83893032891262</v>
      </c>
      <c r="Q9" s="75">
        <f t="shared" si="1"/>
        <v>0.3608646350848137</v>
      </c>
      <c r="R9" s="75">
        <f t="shared" si="1"/>
        <v>0.25021977245175964</v>
      </c>
    </row>
    <row r="10" spans="1:18" x14ac:dyDescent="0.35">
      <c r="A10" s="25" t="s">
        <v>2392</v>
      </c>
      <c r="B10" s="2" t="s">
        <v>37</v>
      </c>
      <c r="C10" s="26" t="s">
        <v>2392</v>
      </c>
      <c r="F10" s="103" t="s">
        <v>2391</v>
      </c>
      <c r="G10" s="103" t="s">
        <v>40</v>
      </c>
      <c r="H10" s="100">
        <v>1869758</v>
      </c>
      <c r="I10" s="57">
        <v>115331227.53217034</v>
      </c>
      <c r="J10" s="57">
        <v>61.682435658609478</v>
      </c>
      <c r="K10" s="58">
        <v>9.6886880704532372E-2</v>
      </c>
      <c r="L10" s="59">
        <v>6.6133424739454189E-2</v>
      </c>
      <c r="N10" s="74"/>
      <c r="O10" s="74"/>
      <c r="P10" s="73"/>
      <c r="Q10" s="75"/>
      <c r="R10" s="75"/>
    </row>
    <row r="11" spans="1:18" x14ac:dyDescent="0.35">
      <c r="A11" s="25" t="s">
        <v>2393</v>
      </c>
      <c r="B11" s="2" t="s">
        <v>39</v>
      </c>
      <c r="C11" s="26" t="s">
        <v>2393</v>
      </c>
      <c r="F11" s="103" t="s">
        <v>2391</v>
      </c>
      <c r="G11" s="103" t="s">
        <v>41</v>
      </c>
      <c r="H11" s="100">
        <v>1290283</v>
      </c>
      <c r="I11" s="57">
        <v>111997646.67338757</v>
      </c>
      <c r="J11" s="57">
        <v>86.800838787605173</v>
      </c>
      <c r="K11" s="58">
        <v>6.6859719330569056E-2</v>
      </c>
      <c r="L11" s="59">
        <v>6.4221877246597572E-2</v>
      </c>
      <c r="N11" s="74"/>
      <c r="O11" s="74"/>
      <c r="P11" s="73"/>
      <c r="Q11" s="75"/>
      <c r="R11" s="75"/>
    </row>
    <row r="12" spans="1:18" ht="15" thickBot="1" x14ac:dyDescent="0.4">
      <c r="A12" s="25" t="s">
        <v>2393</v>
      </c>
      <c r="B12" s="2" t="s">
        <v>42</v>
      </c>
      <c r="C12" s="26" t="s">
        <v>2393</v>
      </c>
      <c r="F12" s="103" t="s">
        <v>2391</v>
      </c>
      <c r="G12" s="104" t="s">
        <v>34</v>
      </c>
      <c r="H12" s="100">
        <v>931410</v>
      </c>
      <c r="I12" s="57">
        <v>104184094.41141336</v>
      </c>
      <c r="J12" s="57">
        <v>111.85631935604445</v>
      </c>
      <c r="K12" s="58">
        <v>4.826368415431756E-2</v>
      </c>
      <c r="L12" s="59">
        <v>5.9741417083967935E-2</v>
      </c>
      <c r="N12" s="74"/>
      <c r="O12" s="74"/>
      <c r="P12" s="73"/>
      <c r="Q12" s="75"/>
      <c r="R12" s="75"/>
    </row>
    <row r="13" spans="1:18" x14ac:dyDescent="0.35">
      <c r="F13" s="103" t="s">
        <v>2392</v>
      </c>
      <c r="G13" s="103" t="s">
        <v>35</v>
      </c>
      <c r="H13" s="100">
        <v>698320</v>
      </c>
      <c r="I13" s="57">
        <v>95603471.838835761</v>
      </c>
      <c r="J13" s="57">
        <v>136.90496024578383</v>
      </c>
      <c r="K13" s="58">
        <v>3.6185456371139499E-2</v>
      </c>
      <c r="L13" s="59">
        <v>5.4821102185187084E-2</v>
      </c>
      <c r="N13" s="74">
        <f>(SUM(H13:H15))/1000000</f>
        <v>2.691058</v>
      </c>
      <c r="O13" s="74">
        <f>(SUM(I13:I15))/1000000</f>
        <v>513.46075442035226</v>
      </c>
      <c r="P13" s="73">
        <f t="shared" ref="P13:R13" si="2">SUM(J13:J15)</f>
        <v>553.51741771198817</v>
      </c>
      <c r="Q13" s="75">
        <f t="shared" si="2"/>
        <v>0.13944489897354495</v>
      </c>
      <c r="R13" s="75">
        <f t="shared" si="2"/>
        <v>0.29442952169784053</v>
      </c>
    </row>
    <row r="14" spans="1:18" x14ac:dyDescent="0.35">
      <c r="F14" s="103" t="s">
        <v>2392</v>
      </c>
      <c r="G14" s="103" t="s">
        <v>36</v>
      </c>
      <c r="H14" s="100">
        <v>957313</v>
      </c>
      <c r="I14" s="57">
        <v>165618766.74931392</v>
      </c>
      <c r="J14" s="57">
        <v>173.00377906631783</v>
      </c>
      <c r="K14" s="58">
        <v>4.9605922492588876E-2</v>
      </c>
      <c r="L14" s="59">
        <v>9.4969389302665422E-2</v>
      </c>
      <c r="N14" s="74"/>
      <c r="O14" s="74"/>
      <c r="P14" s="73"/>
      <c r="Q14" s="75"/>
      <c r="R14" s="75"/>
    </row>
    <row r="15" spans="1:18" ht="15" thickBot="1" x14ac:dyDescent="0.4">
      <c r="F15" s="103" t="s">
        <v>2392</v>
      </c>
      <c r="G15" s="104" t="s">
        <v>37</v>
      </c>
      <c r="H15" s="100">
        <v>1035425</v>
      </c>
      <c r="I15" s="57">
        <v>252238515.83220255</v>
      </c>
      <c r="J15" s="57">
        <v>243.60867839988657</v>
      </c>
      <c r="K15" s="58">
        <v>5.3653520109816583E-2</v>
      </c>
      <c r="L15" s="59">
        <v>0.14463903020998803</v>
      </c>
      <c r="N15" s="74"/>
      <c r="O15" s="74"/>
      <c r="P15" s="73"/>
      <c r="Q15" s="75"/>
      <c r="R15" s="75"/>
    </row>
    <row r="16" spans="1:18" x14ac:dyDescent="0.35">
      <c r="F16" s="103" t="s">
        <v>2393</v>
      </c>
      <c r="G16" s="103" t="s">
        <v>39</v>
      </c>
      <c r="H16" s="100">
        <v>802036</v>
      </c>
      <c r="I16" s="57">
        <v>305551831.94666767</v>
      </c>
      <c r="J16" s="57">
        <v>380.97022072159814</v>
      </c>
      <c r="K16" s="58">
        <v>4.1559798782912188E-2</v>
      </c>
      <c r="L16" s="59">
        <v>0.17521004080539013</v>
      </c>
      <c r="N16" s="74">
        <f>(SUM(H16:H17))/1000000</f>
        <v>1.3364130000000001</v>
      </c>
      <c r="O16" s="74">
        <f>(SUM(I16:I17))/1000000</f>
        <v>731.75646953759406</v>
      </c>
      <c r="P16" s="73">
        <f t="shared" ref="P16:R16" si="3">SUM(J16:J17)</f>
        <v>1178.5431656479823</v>
      </c>
      <c r="Q16" s="75">
        <f t="shared" si="3"/>
        <v>6.9250077765671395E-2</v>
      </c>
      <c r="R16" s="75">
        <f t="shared" si="3"/>
        <v>0.41960501454191446</v>
      </c>
    </row>
    <row r="17" spans="6:18" ht="15" thickBot="1" x14ac:dyDescent="0.4">
      <c r="F17" s="104" t="s">
        <v>2393</v>
      </c>
      <c r="G17" s="104" t="s">
        <v>42</v>
      </c>
      <c r="H17" s="101">
        <v>534377</v>
      </c>
      <c r="I17" s="61">
        <v>426204637.59092641</v>
      </c>
      <c r="J17" s="61">
        <v>797.57294492638425</v>
      </c>
      <c r="K17" s="62">
        <v>2.769027898275921E-2</v>
      </c>
      <c r="L17" s="63">
        <v>0.2443949737365243</v>
      </c>
      <c r="N17" s="74">
        <f>SUM(N6:N16)</f>
        <v>19.298361</v>
      </c>
      <c r="O17" s="74">
        <f t="shared" ref="O17:R17" si="4">SUM(O6:O16)</f>
        <v>1743.9173607981245</v>
      </c>
      <c r="P17" s="74">
        <f t="shared" si="4"/>
        <v>2041.6802309144832</v>
      </c>
      <c r="Q17" s="74">
        <f t="shared" si="4"/>
        <v>1</v>
      </c>
      <c r="R17" s="74">
        <f t="shared" si="4"/>
        <v>0.99999999999999989</v>
      </c>
    </row>
    <row r="18" spans="6:18" x14ac:dyDescent="0.35">
      <c r="F18" s="121" t="s">
        <v>2353</v>
      </c>
      <c r="H18" s="4">
        <v>19298361</v>
      </c>
      <c r="I18" s="4">
        <v>1743917360.7981246</v>
      </c>
      <c r="J18" s="4">
        <v>90.366086570674284</v>
      </c>
      <c r="K18" s="24">
        <v>1</v>
      </c>
      <c r="L18" s="24">
        <v>1</v>
      </c>
    </row>
    <row r="21" spans="6:18" ht="15" thickBot="1" x14ac:dyDescent="0.4">
      <c r="I21" s="58"/>
      <c r="J21" s="58"/>
      <c r="K21" s="58"/>
      <c r="L21" s="58"/>
      <c r="M21" s="58"/>
      <c r="N21" s="58"/>
      <c r="O21" s="58"/>
      <c r="P21" s="58"/>
      <c r="Q21" s="62"/>
      <c r="R21" s="37"/>
    </row>
    <row r="22" spans="6:18" x14ac:dyDescent="0.35">
      <c r="O22" s="15"/>
      <c r="P22" s="15"/>
      <c r="Q22" s="37"/>
      <c r="R22" s="37"/>
    </row>
    <row r="23" spans="6:18" x14ac:dyDescent="0.35">
      <c r="J23">
        <f>SUM(H9:H12)</f>
        <v>6964096</v>
      </c>
      <c r="O23" s="15"/>
      <c r="P23" s="15"/>
      <c r="Q23" s="37"/>
      <c r="R23" s="37"/>
    </row>
    <row r="24" spans="6:18" x14ac:dyDescent="0.35">
      <c r="O24" s="15"/>
      <c r="P24" s="15"/>
      <c r="Q24" s="37"/>
      <c r="R24" s="37"/>
    </row>
    <row r="25" spans="6:18" x14ac:dyDescent="0.35">
      <c r="O25" s="15"/>
      <c r="P25" s="15"/>
      <c r="Q25" s="37"/>
      <c r="R25" s="37"/>
    </row>
    <row r="26" spans="6:18" x14ac:dyDescent="0.35">
      <c r="O26" s="15"/>
      <c r="P26" s="15"/>
      <c r="Q26" s="37"/>
      <c r="R26" s="37"/>
    </row>
    <row r="27" spans="6:18" x14ac:dyDescent="0.35">
      <c r="O27" s="15"/>
      <c r="P27" s="15"/>
      <c r="Q27" s="37"/>
      <c r="R27" s="37"/>
    </row>
    <row r="28" spans="6:18" x14ac:dyDescent="0.35">
      <c r="O28" s="15"/>
      <c r="P28" s="15"/>
      <c r="Q28" s="37"/>
      <c r="R28" s="37"/>
    </row>
    <row r="29" spans="6:18" x14ac:dyDescent="0.35">
      <c r="O29" s="15"/>
      <c r="P29" s="15"/>
      <c r="Q29" s="37"/>
      <c r="R29" s="37"/>
    </row>
    <row r="30" spans="6:18" x14ac:dyDescent="0.35">
      <c r="O30" s="15"/>
      <c r="P30" s="15"/>
      <c r="Q30" s="37"/>
      <c r="R30" s="37"/>
    </row>
    <row r="31" spans="6:18" x14ac:dyDescent="0.35">
      <c r="O31" s="15"/>
      <c r="P31" s="15"/>
      <c r="Q31" s="37"/>
      <c r="R31" s="37"/>
    </row>
    <row r="32" spans="6:18" x14ac:dyDescent="0.35">
      <c r="O32" s="15"/>
      <c r="P32" s="15"/>
      <c r="Q32" s="37"/>
      <c r="R32" s="3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E535-3EE5-4CA4-94CC-298187483B2C}">
  <dimension ref="B1:K23"/>
  <sheetViews>
    <sheetView zoomScale="80" zoomScaleNormal="80" workbookViewId="0">
      <selection activeCell="B6" sqref="B6:C17"/>
    </sheetView>
  </sheetViews>
  <sheetFormatPr defaultRowHeight="14.5" x14ac:dyDescent="0.35"/>
  <cols>
    <col min="1" max="1" width="8.7265625" style="67"/>
    <col min="2" max="2" width="22.26953125" style="67" bestFit="1" customWidth="1"/>
    <col min="3" max="3" width="19" style="67" bestFit="1" customWidth="1"/>
    <col min="4" max="4" width="15.54296875" style="67" bestFit="1" customWidth="1"/>
    <col min="5" max="5" width="18.7265625" style="67" bestFit="1" customWidth="1"/>
    <col min="6" max="6" width="12.90625" style="67" bestFit="1" customWidth="1"/>
    <col min="7" max="7" width="16.54296875" style="67" bestFit="1" customWidth="1"/>
    <col min="8" max="8" width="19.7265625" style="67" bestFit="1" customWidth="1"/>
    <col min="9" max="9" width="8.7265625" style="67"/>
    <col min="10" max="10" width="9.54296875" style="67" bestFit="1" customWidth="1"/>
    <col min="11" max="16384" width="8.7265625" style="67"/>
  </cols>
  <sheetData>
    <row r="1" spans="2:11" x14ac:dyDescent="0.35">
      <c r="B1" s="3" t="s">
        <v>12</v>
      </c>
      <c r="C1" s="121" t="s">
        <v>2385</v>
      </c>
    </row>
    <row r="2" spans="2:11" x14ac:dyDescent="0.35">
      <c r="B2" s="3" t="s">
        <v>9</v>
      </c>
      <c r="C2" s="121" t="s">
        <v>2385</v>
      </c>
    </row>
    <row r="4" spans="2:11" x14ac:dyDescent="0.35">
      <c r="B4"/>
      <c r="C4"/>
      <c r="D4" s="3" t="s">
        <v>2396</v>
      </c>
      <c r="E4"/>
      <c r="F4"/>
      <c r="G4"/>
      <c r="H4"/>
      <c r="J4" s="67" t="s">
        <v>2447</v>
      </c>
      <c r="K4" s="67">
        <f>E18/D18</f>
        <v>90.366086570674298</v>
      </c>
    </row>
    <row r="5" spans="2:11" ht="15" thickBot="1" x14ac:dyDescent="0.4">
      <c r="B5" s="3" t="s">
        <v>2394</v>
      </c>
      <c r="C5" s="3" t="s">
        <v>13</v>
      </c>
      <c r="D5" s="121" t="s">
        <v>2357</v>
      </c>
      <c r="E5" s="121" t="s">
        <v>2386</v>
      </c>
      <c r="F5" s="121" t="s">
        <v>2387</v>
      </c>
      <c r="G5" s="121" t="s">
        <v>2388</v>
      </c>
      <c r="H5" s="121" t="s">
        <v>2389</v>
      </c>
    </row>
    <row r="6" spans="2:11" x14ac:dyDescent="0.35">
      <c r="B6" s="102" t="s">
        <v>2390</v>
      </c>
      <c r="C6" s="102" t="s">
        <v>43</v>
      </c>
      <c r="D6" s="99">
        <v>94968</v>
      </c>
      <c r="E6" s="53">
        <v>-661945.85779676994</v>
      </c>
      <c r="F6" s="53">
        <v>-6.9701989912051419</v>
      </c>
      <c r="G6" s="54">
        <v>4.9210396675655509E-3</v>
      </c>
      <c r="H6" s="55">
        <v>-3.795740971887696E-4</v>
      </c>
    </row>
    <row r="7" spans="2:11" x14ac:dyDescent="0.35">
      <c r="B7" s="103" t="s">
        <v>2390</v>
      </c>
      <c r="C7" s="103" t="s">
        <v>32</v>
      </c>
      <c r="D7" s="100">
        <v>5417639</v>
      </c>
      <c r="E7" s="57">
        <v>16131837.570711</v>
      </c>
      <c r="F7" s="57">
        <v>2.9776508864306019</v>
      </c>
      <c r="G7" s="58">
        <v>0.28073052421394751</v>
      </c>
      <c r="H7" s="59">
        <v>9.2503451902835997E-3</v>
      </c>
    </row>
    <row r="8" spans="2:11" ht="15" thickBot="1" x14ac:dyDescent="0.4">
      <c r="B8" s="104" t="s">
        <v>2390</v>
      </c>
      <c r="C8" s="104" t="s">
        <v>33</v>
      </c>
      <c r="D8" s="101">
        <v>2794187</v>
      </c>
      <c r="E8" s="61">
        <v>46867639.933683977</v>
      </c>
      <c r="F8" s="61">
        <v>16.773265330374802</v>
      </c>
      <c r="G8" s="62">
        <v>0.14478882429445691</v>
      </c>
      <c r="H8" s="63">
        <v>2.6874920215390508E-2</v>
      </c>
    </row>
    <row r="9" spans="2:11" x14ac:dyDescent="0.35">
      <c r="B9" s="103" t="s">
        <v>2391</v>
      </c>
      <c r="C9" s="103" t="s">
        <v>38</v>
      </c>
      <c r="D9" s="100">
        <v>2872645</v>
      </c>
      <c r="E9" s="57">
        <v>104849636.57660869</v>
      </c>
      <c r="F9" s="57">
        <v>36.499336526653551</v>
      </c>
      <c r="G9" s="58">
        <v>0.1488543508953947</v>
      </c>
      <c r="H9" s="59">
        <v>6.0123053381739948E-2</v>
      </c>
    </row>
    <row r="10" spans="2:11" x14ac:dyDescent="0.35">
      <c r="B10" s="103" t="s">
        <v>2391</v>
      </c>
      <c r="C10" s="103" t="s">
        <v>40</v>
      </c>
      <c r="D10" s="100">
        <v>1869758</v>
      </c>
      <c r="E10" s="57">
        <v>115331227.53217034</v>
      </c>
      <c r="F10" s="57">
        <v>61.682435658609478</v>
      </c>
      <c r="G10" s="58">
        <v>9.6886880704532372E-2</v>
      </c>
      <c r="H10" s="59">
        <v>6.6133424739454189E-2</v>
      </c>
    </row>
    <row r="11" spans="2:11" x14ac:dyDescent="0.35">
      <c r="B11" s="103" t="s">
        <v>2391</v>
      </c>
      <c r="C11" s="103" t="s">
        <v>41</v>
      </c>
      <c r="D11" s="100">
        <v>1290283</v>
      </c>
      <c r="E11" s="57">
        <v>111997646.67338757</v>
      </c>
      <c r="F11" s="57">
        <v>86.800838787605173</v>
      </c>
      <c r="G11" s="58">
        <v>6.6859719330569056E-2</v>
      </c>
      <c r="H11" s="59">
        <v>6.4221877246597572E-2</v>
      </c>
    </row>
    <row r="12" spans="2:11" ht="15" thickBot="1" x14ac:dyDescent="0.4">
      <c r="B12" s="103" t="s">
        <v>2391</v>
      </c>
      <c r="C12" s="104" t="s">
        <v>34</v>
      </c>
      <c r="D12" s="100">
        <v>931410</v>
      </c>
      <c r="E12" s="57">
        <v>104184094.41141336</v>
      </c>
      <c r="F12" s="57">
        <v>111.85631935604445</v>
      </c>
      <c r="G12" s="58">
        <v>4.826368415431756E-2</v>
      </c>
      <c r="H12" s="59">
        <v>5.9741417083967935E-2</v>
      </c>
    </row>
    <row r="13" spans="2:11" x14ac:dyDescent="0.35">
      <c r="B13" s="103" t="s">
        <v>2392</v>
      </c>
      <c r="C13" s="103" t="s">
        <v>35</v>
      </c>
      <c r="D13" s="100">
        <v>698320</v>
      </c>
      <c r="E13" s="57">
        <v>95603471.838835761</v>
      </c>
      <c r="F13" s="57">
        <v>136.90496024578383</v>
      </c>
      <c r="G13" s="58">
        <v>3.6185456371139499E-2</v>
      </c>
      <c r="H13" s="59">
        <v>5.4821102185187084E-2</v>
      </c>
    </row>
    <row r="14" spans="2:11" x14ac:dyDescent="0.35">
      <c r="B14" s="103" t="s">
        <v>2392</v>
      </c>
      <c r="C14" s="103" t="s">
        <v>36</v>
      </c>
      <c r="D14" s="100">
        <v>957313</v>
      </c>
      <c r="E14" s="57">
        <v>165618766.74931392</v>
      </c>
      <c r="F14" s="57">
        <v>173.00377906631783</v>
      </c>
      <c r="G14" s="58">
        <v>4.9605922492588876E-2</v>
      </c>
      <c r="H14" s="59">
        <v>9.4969389302665422E-2</v>
      </c>
    </row>
    <row r="15" spans="2:11" ht="15" thickBot="1" x14ac:dyDescent="0.4">
      <c r="B15" s="103" t="s">
        <v>2392</v>
      </c>
      <c r="C15" s="104" t="s">
        <v>37</v>
      </c>
      <c r="D15" s="100">
        <v>1035425</v>
      </c>
      <c r="E15" s="57">
        <v>252238515.83220255</v>
      </c>
      <c r="F15" s="57">
        <v>243.60867839988657</v>
      </c>
      <c r="G15" s="58">
        <v>5.3653520109816583E-2</v>
      </c>
      <c r="H15" s="59">
        <v>0.14463903020998803</v>
      </c>
    </row>
    <row r="16" spans="2:11" x14ac:dyDescent="0.35">
      <c r="B16" s="103" t="s">
        <v>2393</v>
      </c>
      <c r="C16" s="103" t="s">
        <v>39</v>
      </c>
      <c r="D16" s="100">
        <v>802036</v>
      </c>
      <c r="E16" s="57">
        <v>305551831.94666767</v>
      </c>
      <c r="F16" s="57">
        <v>380.97022072159814</v>
      </c>
      <c r="G16" s="58">
        <v>4.1559798782912188E-2</v>
      </c>
      <c r="H16" s="59">
        <v>0.17521004080539013</v>
      </c>
    </row>
    <row r="17" spans="2:8" ht="15" thickBot="1" x14ac:dyDescent="0.4">
      <c r="B17" s="104" t="s">
        <v>2393</v>
      </c>
      <c r="C17" s="104" t="s">
        <v>42</v>
      </c>
      <c r="D17" s="101">
        <v>534377</v>
      </c>
      <c r="E17" s="61">
        <v>426204637.59092641</v>
      </c>
      <c r="F17" s="61">
        <v>797.57294492638425</v>
      </c>
      <c r="G17" s="62">
        <v>2.769027898275921E-2</v>
      </c>
      <c r="H17" s="63">
        <v>0.2443949737365243</v>
      </c>
    </row>
    <row r="18" spans="2:8" x14ac:dyDescent="0.35">
      <c r="B18" s="121" t="s">
        <v>2353</v>
      </c>
      <c r="C18"/>
      <c r="D18" s="4">
        <v>19298361</v>
      </c>
      <c r="E18" s="4">
        <v>1743917360.7981246</v>
      </c>
      <c r="F18" s="4">
        <v>90.366086570674284</v>
      </c>
      <c r="G18" s="24">
        <v>1</v>
      </c>
      <c r="H18" s="24">
        <v>1</v>
      </c>
    </row>
    <row r="23" spans="2:8" x14ac:dyDescent="0.35">
      <c r="F23" s="67">
        <f>SUM(D9:D12)</f>
        <v>6964096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66D0-AEBE-417E-B844-BABE3607449E}">
  <dimension ref="A1:V30"/>
  <sheetViews>
    <sheetView zoomScale="80" zoomScaleNormal="80" workbookViewId="0">
      <selection activeCell="A4" sqref="A4"/>
    </sheetView>
  </sheetViews>
  <sheetFormatPr defaultRowHeight="14.5" x14ac:dyDescent="0.35"/>
  <cols>
    <col min="1" max="1" width="8.7265625" style="6"/>
    <col min="2" max="2" width="22.26953125" bestFit="1" customWidth="1"/>
    <col min="3" max="3" width="19" bestFit="1" customWidth="1"/>
    <col min="4" max="4" width="15.54296875" bestFit="1" customWidth="1"/>
    <col min="5" max="5" width="18.7265625" bestFit="1" customWidth="1"/>
    <col min="6" max="6" width="12.453125" bestFit="1" customWidth="1"/>
    <col min="7" max="7" width="16.54296875" bestFit="1" customWidth="1"/>
    <col min="8" max="8" width="19.7265625" bestFit="1" customWidth="1"/>
    <col min="9" max="9" width="22.36328125" bestFit="1" customWidth="1"/>
    <col min="10" max="13" width="23.36328125" bestFit="1" customWidth="1"/>
    <col min="14" max="14" width="22.26953125" bestFit="1" customWidth="1"/>
    <col min="15" max="18" width="23.26953125" bestFit="1" customWidth="1"/>
  </cols>
  <sheetData>
    <row r="1" spans="1:18" x14ac:dyDescent="0.35">
      <c r="B1" s="3" t="s">
        <v>12</v>
      </c>
      <c r="C1" s="67" t="s">
        <v>2385</v>
      </c>
    </row>
    <row r="2" spans="1:18" x14ac:dyDescent="0.35">
      <c r="B2" s="3" t="s">
        <v>9</v>
      </c>
      <c r="C2" s="67" t="s">
        <v>2385</v>
      </c>
    </row>
    <row r="4" spans="1:18" x14ac:dyDescent="0.35">
      <c r="D4" s="3" t="s">
        <v>2396</v>
      </c>
    </row>
    <row r="5" spans="1:18" x14ac:dyDescent="0.35">
      <c r="A5" s="25" t="s">
        <v>2390</v>
      </c>
      <c r="B5" s="3" t="s">
        <v>2394</v>
      </c>
      <c r="C5" s="3" t="s">
        <v>13</v>
      </c>
      <c r="D5" s="67" t="s">
        <v>2357</v>
      </c>
      <c r="E5" s="67" t="s">
        <v>2386</v>
      </c>
      <c r="F5" s="67" t="s">
        <v>2387</v>
      </c>
      <c r="G5" s="67" t="s">
        <v>2388</v>
      </c>
      <c r="H5" s="67" t="s">
        <v>2389</v>
      </c>
      <c r="I5" s="67" t="s">
        <v>2374</v>
      </c>
      <c r="J5" s="67" t="s">
        <v>2375</v>
      </c>
      <c r="K5" s="67" t="s">
        <v>2376</v>
      </c>
      <c r="L5" s="67" t="s">
        <v>2377</v>
      </c>
      <c r="M5" s="67" t="s">
        <v>2378</v>
      </c>
      <c r="N5" s="21" t="s">
        <v>2367</v>
      </c>
      <c r="O5" s="21" t="s">
        <v>2368</v>
      </c>
      <c r="P5" s="21" t="s">
        <v>2369</v>
      </c>
      <c r="Q5" s="21" t="s">
        <v>2370</v>
      </c>
      <c r="R5" s="21" t="s">
        <v>2371</v>
      </c>
    </row>
    <row r="6" spans="1:18" x14ac:dyDescent="0.35">
      <c r="A6" s="25" t="s">
        <v>2390</v>
      </c>
      <c r="B6" s="67" t="s">
        <v>2390</v>
      </c>
      <c r="C6" s="67" t="s">
        <v>43</v>
      </c>
      <c r="D6" s="4">
        <v>94968</v>
      </c>
      <c r="E6" s="4">
        <v>-661945.85779676994</v>
      </c>
      <c r="F6" s="23">
        <v>-6.9701989912051419</v>
      </c>
      <c r="G6" s="24">
        <v>4.9210396675655509E-3</v>
      </c>
      <c r="H6" s="24">
        <v>-3.795740971887696E-4</v>
      </c>
      <c r="I6" s="4">
        <v>38851</v>
      </c>
      <c r="J6" s="4">
        <v>34113</v>
      </c>
      <c r="K6" s="4">
        <v>27841</v>
      </c>
      <c r="L6" s="4">
        <v>16844</v>
      </c>
      <c r="M6" s="4">
        <v>11706</v>
      </c>
      <c r="N6" s="17">
        <f>I6/$D6</f>
        <v>0.40909569539213209</v>
      </c>
      <c r="O6" s="17">
        <f t="shared" ref="O6:R6" si="0">J6/$D6</f>
        <v>0.3592052059641142</v>
      </c>
      <c r="P6" s="17">
        <f t="shared" si="0"/>
        <v>0.29316190716873053</v>
      </c>
      <c r="Q6" s="17">
        <f t="shared" si="0"/>
        <v>0.17736500716030662</v>
      </c>
      <c r="R6" s="17">
        <f t="shared" si="0"/>
        <v>0.12326257265605256</v>
      </c>
    </row>
    <row r="7" spans="1:18" x14ac:dyDescent="0.35">
      <c r="A7" s="25" t="s">
        <v>2390</v>
      </c>
      <c r="B7" s="67" t="s">
        <v>2390</v>
      </c>
      <c r="C7" s="67" t="s">
        <v>32</v>
      </c>
      <c r="D7" s="4">
        <v>5417639</v>
      </c>
      <c r="E7" s="4">
        <v>16131837.570711</v>
      </c>
      <c r="F7" s="23">
        <v>2.9776508864306019</v>
      </c>
      <c r="G7" s="24">
        <v>0.28073052421394751</v>
      </c>
      <c r="H7" s="24">
        <v>9.2503451902835997E-3</v>
      </c>
      <c r="I7" s="4">
        <v>3640978</v>
      </c>
      <c r="J7" s="4">
        <v>3093906</v>
      </c>
      <c r="K7" s="4">
        <v>2561278</v>
      </c>
      <c r="L7" s="4">
        <v>1334220</v>
      </c>
      <c r="M7" s="4">
        <v>678703</v>
      </c>
      <c r="N7" s="17">
        <f t="shared" ref="N7:N9" si="1">I7/$D7</f>
        <v>0.67205991392191322</v>
      </c>
      <c r="O7" s="17">
        <f t="shared" ref="O7:O9" si="2">J7/$D7</f>
        <v>0.5710801328770706</v>
      </c>
      <c r="P7" s="17">
        <f>K7/$D7</f>
        <v>0.47276645786107196</v>
      </c>
      <c r="Q7" s="17">
        <f t="shared" ref="Q7:Q9" si="3">L7/$D7</f>
        <v>0.2462733305043027</v>
      </c>
      <c r="R7" s="17">
        <f t="shared" ref="R7:R9" si="4">M7/$D7</f>
        <v>0.12527652728430225</v>
      </c>
    </row>
    <row r="8" spans="1:18" x14ac:dyDescent="0.35">
      <c r="A8" s="25" t="s">
        <v>2391</v>
      </c>
      <c r="B8" s="67" t="s">
        <v>2390</v>
      </c>
      <c r="C8" s="67" t="s">
        <v>33</v>
      </c>
      <c r="D8" s="4">
        <v>2794187</v>
      </c>
      <c r="E8" s="4">
        <v>46867639.933683977</v>
      </c>
      <c r="F8" s="23">
        <v>16.773265330374802</v>
      </c>
      <c r="G8" s="24">
        <v>0.14478882429445691</v>
      </c>
      <c r="H8" s="24">
        <v>2.6874920215390508E-2</v>
      </c>
      <c r="I8" s="4">
        <v>1078177</v>
      </c>
      <c r="J8" s="4">
        <v>852997</v>
      </c>
      <c r="K8" s="4">
        <v>715878</v>
      </c>
      <c r="L8" s="4">
        <v>439986</v>
      </c>
      <c r="M8" s="4">
        <v>211669</v>
      </c>
      <c r="N8" s="17">
        <f t="shared" si="1"/>
        <v>0.38586429612620771</v>
      </c>
      <c r="O8" s="17">
        <f t="shared" si="2"/>
        <v>0.30527555958137376</v>
      </c>
      <c r="P8" s="17">
        <f t="shared" ref="P8:P9" si="5">K8/$D8</f>
        <v>0.25620260920260529</v>
      </c>
      <c r="Q8" s="17">
        <f t="shared" si="3"/>
        <v>0.15746476524298481</v>
      </c>
      <c r="R8" s="17">
        <f t="shared" si="4"/>
        <v>7.5753340774973185E-2</v>
      </c>
    </row>
    <row r="9" spans="1:18" x14ac:dyDescent="0.35">
      <c r="A9" s="25" t="s">
        <v>2391</v>
      </c>
      <c r="B9" s="67" t="s">
        <v>2391</v>
      </c>
      <c r="C9" s="67" t="s">
        <v>38</v>
      </c>
      <c r="D9" s="4">
        <v>2872645</v>
      </c>
      <c r="E9" s="4">
        <v>104849636.57660869</v>
      </c>
      <c r="F9" s="23">
        <v>36.499336526653551</v>
      </c>
      <c r="G9" s="24">
        <v>0.1488543508953947</v>
      </c>
      <c r="H9" s="24">
        <v>6.0123053381739948E-2</v>
      </c>
      <c r="I9" s="4">
        <v>635035</v>
      </c>
      <c r="J9" s="4">
        <v>488684</v>
      </c>
      <c r="K9" s="4">
        <v>407531</v>
      </c>
      <c r="L9" s="4">
        <v>287408</v>
      </c>
      <c r="M9" s="4">
        <v>140676</v>
      </c>
      <c r="N9" s="17">
        <f t="shared" si="1"/>
        <v>0.22106281841299569</v>
      </c>
      <c r="O9" s="17">
        <f t="shared" si="2"/>
        <v>0.17011639099157744</v>
      </c>
      <c r="P9" s="17">
        <f t="shared" si="5"/>
        <v>0.14186611989995282</v>
      </c>
      <c r="Q9" s="17">
        <f t="shared" si="3"/>
        <v>0.10004995396228911</v>
      </c>
      <c r="R9" s="17">
        <f t="shared" si="4"/>
        <v>4.8970896160159018E-2</v>
      </c>
    </row>
    <row r="10" spans="1:18" x14ac:dyDescent="0.35">
      <c r="A10" s="25" t="s">
        <v>2391</v>
      </c>
      <c r="B10" s="67" t="s">
        <v>2391</v>
      </c>
      <c r="C10" s="67" t="s">
        <v>40</v>
      </c>
      <c r="D10" s="4">
        <v>1869758</v>
      </c>
      <c r="E10" s="4">
        <v>115331227.53217034</v>
      </c>
      <c r="F10" s="23">
        <v>61.682435658609478</v>
      </c>
      <c r="G10" s="24">
        <v>9.6886880704532372E-2</v>
      </c>
      <c r="H10" s="24">
        <v>6.6133424739454189E-2</v>
      </c>
      <c r="I10" s="4">
        <v>251572</v>
      </c>
      <c r="J10" s="4">
        <v>192488</v>
      </c>
      <c r="K10" s="4">
        <v>160710</v>
      </c>
      <c r="L10" s="4">
        <v>120794</v>
      </c>
      <c r="M10" s="4">
        <v>61778</v>
      </c>
    </row>
    <row r="11" spans="1:18" x14ac:dyDescent="0.35">
      <c r="A11" s="25" t="s">
        <v>2391</v>
      </c>
      <c r="B11" s="67" t="s">
        <v>2391</v>
      </c>
      <c r="C11" s="67" t="s">
        <v>41</v>
      </c>
      <c r="D11" s="4">
        <v>1290283</v>
      </c>
      <c r="E11" s="4">
        <v>111997646.67338757</v>
      </c>
      <c r="F11" s="23">
        <v>86.800838787605173</v>
      </c>
      <c r="G11" s="24">
        <v>6.6859719330569056E-2</v>
      </c>
      <c r="H11" s="24">
        <v>6.4221877246597572E-2</v>
      </c>
      <c r="I11" s="4">
        <v>121543</v>
      </c>
      <c r="J11" s="4">
        <v>93576</v>
      </c>
      <c r="K11" s="4">
        <v>78038</v>
      </c>
      <c r="L11" s="4">
        <v>59994</v>
      </c>
      <c r="M11" s="4">
        <v>32020</v>
      </c>
    </row>
    <row r="12" spans="1:18" x14ac:dyDescent="0.35">
      <c r="A12" s="25" t="s">
        <v>2392</v>
      </c>
      <c r="B12" s="67" t="s">
        <v>2391</v>
      </c>
      <c r="C12" s="67" t="s">
        <v>34</v>
      </c>
      <c r="D12" s="4">
        <v>931410</v>
      </c>
      <c r="E12" s="4">
        <v>104184094.41141336</v>
      </c>
      <c r="F12" s="23">
        <v>111.85631935604445</v>
      </c>
      <c r="G12" s="24">
        <v>4.826368415431756E-2</v>
      </c>
      <c r="H12" s="24">
        <v>5.9741417083967935E-2</v>
      </c>
      <c r="I12" s="4">
        <v>65998</v>
      </c>
      <c r="J12" s="4">
        <v>51037</v>
      </c>
      <c r="K12" s="4">
        <v>42475</v>
      </c>
      <c r="L12" s="4">
        <v>33004</v>
      </c>
      <c r="M12" s="4">
        <v>18162</v>
      </c>
    </row>
    <row r="13" spans="1:18" x14ac:dyDescent="0.35">
      <c r="A13" s="25" t="s">
        <v>2392</v>
      </c>
      <c r="B13" s="67" t="s">
        <v>2392</v>
      </c>
      <c r="C13" s="67" t="s">
        <v>35</v>
      </c>
      <c r="D13" s="4">
        <v>698320</v>
      </c>
      <c r="E13" s="4">
        <v>95603471.838835761</v>
      </c>
      <c r="F13" s="23">
        <v>136.90496024578383</v>
      </c>
      <c r="G13" s="24">
        <v>3.6185456371139499E-2</v>
      </c>
      <c r="H13" s="24">
        <v>5.4821102185187084E-2</v>
      </c>
      <c r="I13" s="4">
        <v>39886</v>
      </c>
      <c r="J13" s="4">
        <v>31077</v>
      </c>
      <c r="K13" s="4">
        <v>25819</v>
      </c>
      <c r="L13" s="4">
        <v>20239</v>
      </c>
      <c r="M13" s="4">
        <v>11316</v>
      </c>
    </row>
    <row r="14" spans="1:18" x14ac:dyDescent="0.35">
      <c r="A14" s="25" t="s">
        <v>2392</v>
      </c>
      <c r="B14" s="67" t="s">
        <v>2392</v>
      </c>
      <c r="C14" s="67" t="s">
        <v>36</v>
      </c>
      <c r="D14" s="4">
        <v>957313</v>
      </c>
      <c r="E14" s="4">
        <v>165618766.74931392</v>
      </c>
      <c r="F14" s="23">
        <v>173.00377906631783</v>
      </c>
      <c r="G14" s="24">
        <v>4.9605922492588876E-2</v>
      </c>
      <c r="H14" s="24">
        <v>9.4969389302665422E-2</v>
      </c>
      <c r="I14" s="4">
        <v>42890</v>
      </c>
      <c r="J14" s="4">
        <v>33490</v>
      </c>
      <c r="K14" s="4">
        <v>27854</v>
      </c>
      <c r="L14" s="4">
        <v>21912</v>
      </c>
      <c r="M14" s="4">
        <v>12494</v>
      </c>
    </row>
    <row r="15" spans="1:18" x14ac:dyDescent="0.35">
      <c r="A15" s="25" t="s">
        <v>2393</v>
      </c>
      <c r="B15" s="67" t="s">
        <v>2392</v>
      </c>
      <c r="C15" s="67" t="s">
        <v>37</v>
      </c>
      <c r="D15" s="4">
        <v>1035425</v>
      </c>
      <c r="E15" s="4">
        <v>252238515.83220255</v>
      </c>
      <c r="F15" s="23">
        <v>243.60867839988657</v>
      </c>
      <c r="G15" s="24">
        <v>5.3653520109816583E-2</v>
      </c>
      <c r="H15" s="24">
        <v>0.14463903020998803</v>
      </c>
      <c r="I15" s="4">
        <v>31727</v>
      </c>
      <c r="J15" s="4">
        <v>25104</v>
      </c>
      <c r="K15" s="4">
        <v>20874</v>
      </c>
      <c r="L15" s="4">
        <v>16646</v>
      </c>
      <c r="M15" s="4">
        <v>9616</v>
      </c>
    </row>
    <row r="16" spans="1:18" x14ac:dyDescent="0.35">
      <c r="A16" s="25" t="s">
        <v>2393</v>
      </c>
      <c r="B16" s="67" t="s">
        <v>2393</v>
      </c>
      <c r="C16" s="67" t="s">
        <v>39</v>
      </c>
      <c r="D16" s="4">
        <v>802036</v>
      </c>
      <c r="E16" s="4">
        <v>305551831.94666767</v>
      </c>
      <c r="F16" s="23">
        <v>380.97022072159814</v>
      </c>
      <c r="G16" s="24">
        <v>4.1559798782912188E-2</v>
      </c>
      <c r="H16" s="24">
        <v>0.17521004080539013</v>
      </c>
      <c r="I16" s="4">
        <v>15366</v>
      </c>
      <c r="J16" s="4">
        <v>12308</v>
      </c>
      <c r="K16" s="4">
        <v>10197</v>
      </c>
      <c r="L16" s="4">
        <v>8240</v>
      </c>
      <c r="M16" s="4">
        <v>5010</v>
      </c>
    </row>
    <row r="17" spans="2:22" x14ac:dyDescent="0.35">
      <c r="B17" s="67" t="s">
        <v>2393</v>
      </c>
      <c r="C17" s="67" t="s">
        <v>42</v>
      </c>
      <c r="D17" s="4">
        <v>534377</v>
      </c>
      <c r="E17" s="4">
        <v>426204637.59092641</v>
      </c>
      <c r="F17" s="23">
        <v>797.57294492638425</v>
      </c>
      <c r="G17" s="24">
        <v>2.769027898275921E-2</v>
      </c>
      <c r="H17" s="24">
        <v>0.2443949737365243</v>
      </c>
      <c r="I17" s="4">
        <v>5713</v>
      </c>
      <c r="J17" s="4">
        <v>4551</v>
      </c>
      <c r="K17" s="4">
        <v>3710</v>
      </c>
      <c r="L17" s="4">
        <v>3013</v>
      </c>
      <c r="M17" s="4">
        <v>1939</v>
      </c>
    </row>
    <row r="18" spans="2:22" x14ac:dyDescent="0.35">
      <c r="B18" s="67" t="s">
        <v>2353</v>
      </c>
      <c r="D18" s="4">
        <v>19298361</v>
      </c>
      <c r="E18" s="4">
        <v>1743917360.7981246</v>
      </c>
      <c r="F18" s="4">
        <v>90.366086570674284</v>
      </c>
      <c r="G18" s="24">
        <v>1</v>
      </c>
      <c r="H18" s="24">
        <v>1</v>
      </c>
      <c r="I18" s="4">
        <v>5967736</v>
      </c>
      <c r="J18" s="4">
        <v>4913331</v>
      </c>
      <c r="K18" s="4">
        <v>4082205</v>
      </c>
      <c r="L18" s="4">
        <v>2362300</v>
      </c>
      <c r="M18" s="4">
        <v>1195089</v>
      </c>
    </row>
    <row r="24" spans="2:22" ht="15" thickBot="1" x14ac:dyDescent="0.4">
      <c r="L24" t="s">
        <v>2430</v>
      </c>
    </row>
    <row r="25" spans="2:22" ht="47" thickBot="1" x14ac:dyDescent="0.4">
      <c r="B25" s="48" t="s">
        <v>2431</v>
      </c>
      <c r="C25" s="3" t="s">
        <v>2397</v>
      </c>
      <c r="D25" s="3" t="s">
        <v>2398</v>
      </c>
      <c r="E25" s="3" t="s">
        <v>2399</v>
      </c>
      <c r="F25" s="3" t="s">
        <v>2400</v>
      </c>
      <c r="G25" s="3"/>
      <c r="H25" s="3"/>
      <c r="L25" s="29" t="s">
        <v>2401</v>
      </c>
      <c r="M25" s="29" t="s">
        <v>2402</v>
      </c>
      <c r="N25" s="29" t="s">
        <v>2403</v>
      </c>
      <c r="O25" s="29" t="s">
        <v>2404</v>
      </c>
      <c r="P25" s="29" t="s">
        <v>2405</v>
      </c>
      <c r="Q25" s="29" t="s">
        <v>2406</v>
      </c>
      <c r="R25" s="29" t="s">
        <v>2407</v>
      </c>
      <c r="S25" s="29" t="s">
        <v>2408</v>
      </c>
      <c r="T25" s="29" t="s">
        <v>2409</v>
      </c>
      <c r="U25" s="29" t="s">
        <v>2410</v>
      </c>
      <c r="V25" s="29" t="s">
        <v>2411</v>
      </c>
    </row>
    <row r="26" spans="2:22" ht="16" thickBot="1" x14ac:dyDescent="0.4">
      <c r="B26" s="2" t="s">
        <v>2390</v>
      </c>
      <c r="C26" s="6">
        <v>8306785</v>
      </c>
      <c r="D26" s="27">
        <v>0.43044005564204824</v>
      </c>
      <c r="E26" s="6">
        <v>62337531.660544991</v>
      </c>
      <c r="F26" s="27">
        <v>3.5745626348897913E-2</v>
      </c>
      <c r="L26" s="30" t="s">
        <v>2390</v>
      </c>
      <c r="M26" s="30">
        <v>7.5</v>
      </c>
      <c r="N26" s="30">
        <v>8.3000000000000007</v>
      </c>
      <c r="O26" s="31">
        <v>0.43</v>
      </c>
      <c r="P26" s="30">
        <v>62.3</v>
      </c>
      <c r="Q26" s="30">
        <v>6.8</v>
      </c>
      <c r="R26" s="31">
        <v>0.20699999999999999</v>
      </c>
      <c r="S26" s="31">
        <v>0.57299999999999995</v>
      </c>
      <c r="T26" s="31">
        <v>0.47899999999999998</v>
      </c>
      <c r="U26" s="31">
        <v>0.39800000000000002</v>
      </c>
      <c r="V26" s="31">
        <v>0.109</v>
      </c>
    </row>
    <row r="27" spans="2:22" ht="16" thickBot="1" x14ac:dyDescent="0.4">
      <c r="B27" s="2" t="s">
        <v>2391</v>
      </c>
      <c r="C27" s="6">
        <v>6964093</v>
      </c>
      <c r="D27" s="27">
        <v>0.36086459182660907</v>
      </c>
      <c r="E27" s="6">
        <v>436362604.83085096</v>
      </c>
      <c r="F27" s="27">
        <v>0.25021931747079096</v>
      </c>
      <c r="L27" s="32" t="s">
        <v>2391</v>
      </c>
      <c r="M27" s="32">
        <v>62.7</v>
      </c>
      <c r="N27" s="32">
        <v>7</v>
      </c>
      <c r="O27" s="33">
        <v>0.36099999999999999</v>
      </c>
      <c r="P27" s="32">
        <v>436.4</v>
      </c>
      <c r="Q27" s="32">
        <v>15.8</v>
      </c>
      <c r="R27" s="33">
        <v>0.48299999999999998</v>
      </c>
      <c r="S27" s="33">
        <v>0.154</v>
      </c>
      <c r="T27" s="33">
        <v>0.11899999999999999</v>
      </c>
      <c r="U27" s="33">
        <v>9.9000000000000005E-2</v>
      </c>
      <c r="V27" s="33">
        <v>3.5999999999999997E-2</v>
      </c>
    </row>
    <row r="28" spans="2:22" ht="16" thickBot="1" x14ac:dyDescent="0.4">
      <c r="B28" s="2" t="s">
        <v>2392</v>
      </c>
      <c r="C28" s="6">
        <v>2691062</v>
      </c>
      <c r="D28" s="27">
        <v>0.13944514959953841</v>
      </c>
      <c r="E28" s="6">
        <v>513461845.71661723</v>
      </c>
      <c r="F28" s="27">
        <v>0.29442961234569365</v>
      </c>
      <c r="L28" s="30" t="s">
        <v>2392</v>
      </c>
      <c r="M28" s="30">
        <v>190.8</v>
      </c>
      <c r="N28" s="30">
        <v>2.7</v>
      </c>
      <c r="O28" s="31">
        <v>0.13900000000000001</v>
      </c>
      <c r="P28" s="30">
        <v>513.5</v>
      </c>
      <c r="Q28" s="30">
        <v>6.4</v>
      </c>
      <c r="R28" s="31">
        <v>0.19500000000000001</v>
      </c>
      <c r="S28" s="31">
        <v>4.2999999999999997E-2</v>
      </c>
      <c r="T28" s="31">
        <v>3.3000000000000002E-2</v>
      </c>
      <c r="U28" s="31">
        <v>2.8000000000000001E-2</v>
      </c>
      <c r="V28" s="31">
        <v>1.2E-2</v>
      </c>
    </row>
    <row r="29" spans="2:22" ht="16" thickBot="1" x14ac:dyDescent="0.4">
      <c r="B29" s="2" t="s">
        <v>2393</v>
      </c>
      <c r="C29" s="6">
        <v>1336415</v>
      </c>
      <c r="D29" s="27">
        <v>6.9250202931804297E-2</v>
      </c>
      <c r="E29" s="6">
        <v>731758548.15547121</v>
      </c>
      <c r="F29" s="27">
        <v>0.4196054438346174</v>
      </c>
      <c r="L29" s="34" t="s">
        <v>2393</v>
      </c>
      <c r="M29" s="34">
        <v>547.6</v>
      </c>
      <c r="N29" s="34">
        <v>1.3</v>
      </c>
      <c r="O29" s="35">
        <v>6.9000000000000006E-2</v>
      </c>
      <c r="P29" s="34">
        <v>731.8</v>
      </c>
      <c r="Q29" s="34">
        <v>3.8</v>
      </c>
      <c r="R29" s="35">
        <v>0.11600000000000001</v>
      </c>
      <c r="S29" s="35">
        <v>1.6E-2</v>
      </c>
      <c r="T29" s="35">
        <v>1.2999999999999999E-2</v>
      </c>
      <c r="U29" s="35">
        <v>0.01</v>
      </c>
      <c r="V29" s="35">
        <v>5.0000000000000001E-3</v>
      </c>
    </row>
    <row r="30" spans="2:22" x14ac:dyDescent="0.35">
      <c r="B30" s="2" t="s">
        <v>2353</v>
      </c>
      <c r="C30" s="6">
        <v>19298355</v>
      </c>
      <c r="D30" s="6">
        <v>1</v>
      </c>
      <c r="E30" s="6">
        <v>1743920530.3634844</v>
      </c>
      <c r="F30" s="6">
        <v>0.99999999999999989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486A-55EF-4690-A548-7D32C135E46E}">
  <sheetPr>
    <tabColor theme="7" tint="0.39997558519241921"/>
  </sheetPr>
  <dimension ref="A1:Q40"/>
  <sheetViews>
    <sheetView topLeftCell="A6" zoomScale="80" zoomScaleNormal="80" workbookViewId="0">
      <selection activeCell="D18" sqref="D18:E22"/>
    </sheetView>
  </sheetViews>
  <sheetFormatPr defaultRowHeight="14.5" x14ac:dyDescent="0.35"/>
  <cols>
    <col min="1" max="1" width="3.90625" style="6" customWidth="1"/>
    <col min="2" max="2" width="15.08984375" bestFit="1" customWidth="1"/>
    <col min="3" max="3" width="17" bestFit="1" customWidth="1"/>
    <col min="4" max="4" width="18.7265625" bestFit="1" customWidth="1"/>
    <col min="5" max="5" width="16.54296875" bestFit="1" customWidth="1"/>
    <col min="6" max="6" width="19.7265625" bestFit="1" customWidth="1"/>
    <col min="7" max="7" width="12.453125" bestFit="1" customWidth="1"/>
    <col min="8" max="8" width="22.36328125" bestFit="1" customWidth="1"/>
    <col min="9" max="12" width="23.36328125" bestFit="1" customWidth="1"/>
    <col min="13" max="13" width="11.90625" bestFit="1" customWidth="1"/>
    <col min="14" max="17" width="12.90625" bestFit="1" customWidth="1"/>
  </cols>
  <sheetData>
    <row r="1" spans="2:17" x14ac:dyDescent="0.35">
      <c r="B1" s="3" t="s">
        <v>12</v>
      </c>
      <c r="C1" s="67" t="s">
        <v>2385</v>
      </c>
    </row>
    <row r="2" spans="2:17" x14ac:dyDescent="0.35">
      <c r="B2" s="3" t="s">
        <v>9</v>
      </c>
      <c r="C2" s="67" t="s">
        <v>2385</v>
      </c>
    </row>
    <row r="3" spans="2:17" x14ac:dyDescent="0.35">
      <c r="B3" s="3" t="s">
        <v>13</v>
      </c>
      <c r="C3" s="67" t="s">
        <v>2358</v>
      </c>
      <c r="H3" s="79">
        <f>$L$7/H7</f>
        <v>0.23519663956922138</v>
      </c>
      <c r="I3" s="79">
        <f t="shared" ref="I3:L3" si="0">$L$7/I7</f>
        <v>0.3059343533728513</v>
      </c>
      <c r="J3" s="79">
        <f t="shared" si="0"/>
        <v>0.36680149951942204</v>
      </c>
      <c r="K3" s="79">
        <f t="shared" si="0"/>
        <v>0.50406225059856347</v>
      </c>
      <c r="L3" s="79">
        <f t="shared" si="0"/>
        <v>1</v>
      </c>
    </row>
    <row r="5" spans="2:17" x14ac:dyDescent="0.35">
      <c r="B5" s="3" t="s">
        <v>2352</v>
      </c>
      <c r="C5" s="67" t="s">
        <v>2357</v>
      </c>
      <c r="D5" s="67" t="s">
        <v>2386</v>
      </c>
      <c r="E5" s="67" t="s">
        <v>2388</v>
      </c>
      <c r="F5" s="67" t="s">
        <v>2389</v>
      </c>
      <c r="G5" s="67" t="s">
        <v>2387</v>
      </c>
      <c r="H5" s="67" t="s">
        <v>2374</v>
      </c>
      <c r="I5" s="67" t="s">
        <v>2375</v>
      </c>
      <c r="J5" s="67" t="s">
        <v>2376</v>
      </c>
      <c r="K5" s="67" t="s">
        <v>2377</v>
      </c>
      <c r="L5" s="67" t="s">
        <v>2378</v>
      </c>
      <c r="M5" s="67" t="s">
        <v>2412</v>
      </c>
      <c r="N5" s="67" t="s">
        <v>2413</v>
      </c>
      <c r="O5" s="67" t="s">
        <v>2414</v>
      </c>
      <c r="P5" s="67" t="s">
        <v>2415</v>
      </c>
      <c r="Q5" s="67" t="s">
        <v>2416</v>
      </c>
    </row>
    <row r="6" spans="2:17" x14ac:dyDescent="0.35">
      <c r="B6" s="81" t="s">
        <v>2390</v>
      </c>
      <c r="C6" s="4">
        <v>8306794</v>
      </c>
      <c r="D6" s="4">
        <v>62337531.646598198</v>
      </c>
      <c r="E6" s="24">
        <v>0.43044038817596997</v>
      </c>
      <c r="F6" s="24">
        <v>3.5745691308485338E-2</v>
      </c>
      <c r="G6" s="23">
        <v>7.5044032206165454</v>
      </c>
      <c r="H6" s="4">
        <v>4758006</v>
      </c>
      <c r="I6" s="4">
        <v>3981016</v>
      </c>
      <c r="J6" s="4">
        <v>3304997</v>
      </c>
      <c r="K6" s="4">
        <v>1791050</v>
      </c>
      <c r="L6" s="4">
        <v>902078</v>
      </c>
      <c r="M6" s="24">
        <v>0.57278487946131806</v>
      </c>
      <c r="N6" s="24">
        <v>0.47924819129979629</v>
      </c>
      <c r="O6" s="24">
        <v>0.39786673414556806</v>
      </c>
      <c r="P6" s="24">
        <v>0.2156126659695666</v>
      </c>
      <c r="Q6" s="24">
        <v>0.10859520532229401</v>
      </c>
    </row>
    <row r="7" spans="2:17" x14ac:dyDescent="0.35">
      <c r="B7" s="81" t="s">
        <v>2391</v>
      </c>
      <c r="C7" s="4">
        <v>6964096</v>
      </c>
      <c r="D7" s="4">
        <v>436362605.19357991</v>
      </c>
      <c r="E7" s="24">
        <v>0.3608646350848137</v>
      </c>
      <c r="F7" s="24">
        <v>0.25021977245175964</v>
      </c>
      <c r="G7" s="23">
        <v>62.658901484640637</v>
      </c>
      <c r="H7" s="4">
        <v>1074148</v>
      </c>
      <c r="I7" s="4">
        <v>825785</v>
      </c>
      <c r="J7" s="4">
        <v>688754</v>
      </c>
      <c r="K7" s="4">
        <v>501200</v>
      </c>
      <c r="L7" s="4">
        <v>252636</v>
      </c>
      <c r="M7" s="24">
        <v>0.1542408375760472</v>
      </c>
      <c r="N7" s="38">
        <v>0.11857748658260886</v>
      </c>
      <c r="O7" s="24">
        <v>9.8900704413035084E-2</v>
      </c>
      <c r="P7" s="24">
        <v>7.1969140000367596E-2</v>
      </c>
      <c r="Q7" s="24">
        <v>3.6276926682228393E-2</v>
      </c>
    </row>
    <row r="8" spans="2:17" x14ac:dyDescent="0.35">
      <c r="B8" s="81" t="s">
        <v>2392</v>
      </c>
      <c r="C8" s="4">
        <v>2691058</v>
      </c>
      <c r="D8" s="4">
        <v>513460754.42035228</v>
      </c>
      <c r="E8" s="24">
        <v>0.13944489897354495</v>
      </c>
      <c r="F8" s="24">
        <v>0.29442952169784059</v>
      </c>
      <c r="G8" s="23">
        <v>190.80255959565059</v>
      </c>
      <c r="H8" s="4">
        <v>114503</v>
      </c>
      <c r="I8" s="4">
        <v>89671</v>
      </c>
      <c r="J8" s="4">
        <v>74547</v>
      </c>
      <c r="K8" s="4">
        <v>58797</v>
      </c>
      <c r="L8" s="4">
        <v>33426</v>
      </c>
      <c r="M8" s="24">
        <v>4.2549435946754026E-2</v>
      </c>
      <c r="N8" s="24">
        <v>3.3321838473938506E-2</v>
      </c>
      <c r="O8" s="24">
        <v>2.7701744072405724E-2</v>
      </c>
      <c r="P8" s="24">
        <v>2.1849027408550839E-2</v>
      </c>
      <c r="Q8" s="24">
        <v>1.2421136965461169E-2</v>
      </c>
    </row>
    <row r="9" spans="2:17" x14ac:dyDescent="0.35">
      <c r="B9" s="81" t="s">
        <v>2393</v>
      </c>
      <c r="C9" s="4">
        <v>1336413</v>
      </c>
      <c r="D9" s="4">
        <v>731756469.53759396</v>
      </c>
      <c r="E9" s="24">
        <v>6.9250077765671395E-2</v>
      </c>
      <c r="F9" s="24">
        <v>0.4196050145419144</v>
      </c>
      <c r="G9" s="23">
        <v>547.55264243732586</v>
      </c>
      <c r="H9" s="4">
        <v>21079</v>
      </c>
      <c r="I9" s="4">
        <v>16859</v>
      </c>
      <c r="J9" s="4">
        <v>13907</v>
      </c>
      <c r="K9" s="4">
        <v>11253</v>
      </c>
      <c r="L9" s="4">
        <v>6949</v>
      </c>
      <c r="M9" s="24">
        <v>1.5772818731933917E-2</v>
      </c>
      <c r="N9" s="24">
        <v>1.2615112244493281E-2</v>
      </c>
      <c r="O9" s="24">
        <v>1.0406214246643815E-2</v>
      </c>
      <c r="P9" s="24">
        <v>8.4203012092818608E-3</v>
      </c>
      <c r="Q9" s="24">
        <v>5.1997399007642098E-3</v>
      </c>
    </row>
    <row r="10" spans="2:17" x14ac:dyDescent="0.35">
      <c r="B10" s="81" t="s">
        <v>2353</v>
      </c>
      <c r="C10" s="4">
        <v>19298361</v>
      </c>
      <c r="D10" s="4">
        <v>1743917360.7981243</v>
      </c>
      <c r="E10" s="24">
        <v>1</v>
      </c>
      <c r="F10" s="24">
        <v>1</v>
      </c>
      <c r="G10" s="23">
        <v>90.36608657067427</v>
      </c>
      <c r="H10" s="4">
        <v>5967736</v>
      </c>
      <c r="I10" s="4">
        <v>4913331</v>
      </c>
      <c r="J10" s="4">
        <v>4082205</v>
      </c>
      <c r="K10" s="4">
        <v>2362300</v>
      </c>
      <c r="L10" s="4">
        <v>1195089</v>
      </c>
      <c r="M10" s="24">
        <v>0.30923538014445889</v>
      </c>
      <c r="N10" s="24">
        <v>0.25459835682418835</v>
      </c>
      <c r="O10" s="24">
        <v>0.21153117614495864</v>
      </c>
      <c r="P10" s="24">
        <v>0.12240935901240525</v>
      </c>
      <c r="Q10" s="24">
        <v>6.1926968823932768E-2</v>
      </c>
    </row>
    <row r="12" spans="2:17" ht="16" x14ac:dyDescent="0.35">
      <c r="B12" s="76"/>
      <c r="C12" s="67">
        <v>7709549</v>
      </c>
      <c r="M12" s="82">
        <v>0.1542408375760472</v>
      </c>
      <c r="N12" s="82">
        <v>0.11857748658260886</v>
      </c>
      <c r="O12" s="82">
        <v>9.8900704413035084E-2</v>
      </c>
      <c r="P12" s="82">
        <v>7.1969140000367596E-2</v>
      </c>
      <c r="Q12" s="82">
        <v>3.6276926682228393E-2</v>
      </c>
    </row>
    <row r="13" spans="2:17" ht="16" x14ac:dyDescent="0.35">
      <c r="B13" s="76" t="s">
        <v>2436</v>
      </c>
      <c r="C13" s="16">
        <v>6912010</v>
      </c>
      <c r="F13" s="81"/>
      <c r="G13" s="67"/>
      <c r="H13" s="67"/>
      <c r="I13" s="67">
        <f>H7-I7</f>
        <v>248363</v>
      </c>
      <c r="J13" s="67">
        <f>H7-J7</f>
        <v>385394</v>
      </c>
      <c r="K13" s="67">
        <f t="shared" ref="J13:L13" si="1">J7-K7</f>
        <v>187554</v>
      </c>
      <c r="L13" s="67">
        <f t="shared" si="1"/>
        <v>248564</v>
      </c>
    </row>
    <row r="14" spans="2:17" ht="16" x14ac:dyDescent="0.35">
      <c r="B14" s="76"/>
      <c r="C14" s="67">
        <v>2992769</v>
      </c>
      <c r="K14" s="17"/>
    </row>
    <row r="15" spans="2:17" x14ac:dyDescent="0.35">
      <c r="C15" s="67">
        <v>1684033</v>
      </c>
    </row>
    <row r="16" spans="2:17" x14ac:dyDescent="0.35">
      <c r="C16" s="91">
        <v>19298361</v>
      </c>
    </row>
    <row r="17" spans="2:16" x14ac:dyDescent="0.35">
      <c r="D17" s="6" t="s">
        <v>2383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 ht="16" x14ac:dyDescent="0.35">
      <c r="B18" s="76"/>
      <c r="D18" s="39" t="s">
        <v>2401</v>
      </c>
      <c r="E18" s="39" t="s">
        <v>2402</v>
      </c>
      <c r="F18" s="129" t="s">
        <v>2420</v>
      </c>
      <c r="G18" s="39" t="s">
        <v>2421</v>
      </c>
      <c r="H18" s="39" t="s">
        <v>2422</v>
      </c>
      <c r="I18" s="40" t="s">
        <v>2423</v>
      </c>
      <c r="J18" s="40" t="s">
        <v>2407</v>
      </c>
      <c r="K18" s="40" t="s">
        <v>2404</v>
      </c>
      <c r="L18" s="39" t="s">
        <v>2417</v>
      </c>
      <c r="M18" s="39" t="s">
        <v>2418</v>
      </c>
      <c r="N18" s="39" t="s">
        <v>2419</v>
      </c>
      <c r="O18" s="40" t="s">
        <v>2424</v>
      </c>
      <c r="P18" s="36">
        <f>SUM(H19:H22)</f>
        <v>1743917360.7981243</v>
      </c>
    </row>
    <row r="19" spans="2:16" ht="16" x14ac:dyDescent="0.35">
      <c r="B19" s="76"/>
      <c r="D19" s="41" t="s">
        <v>2390</v>
      </c>
      <c r="E19" s="94">
        <v>7.5044032206165454</v>
      </c>
      <c r="F19" s="27">
        <v>0.10859520532229401</v>
      </c>
      <c r="G19" s="4">
        <v>8306794</v>
      </c>
      <c r="H19" s="4">
        <v>62337531.646598198</v>
      </c>
      <c r="I19" s="8">
        <f>+F19*E19*G19</f>
        <v>6769557.0484473323</v>
      </c>
      <c r="J19" s="9">
        <f>+I19/SUM($I$19:$I$22)</f>
        <v>0.20650124493314354</v>
      </c>
      <c r="K19" s="9">
        <f>+G19/SUM($G$19:$G$22)</f>
        <v>0.43044038817596997</v>
      </c>
      <c r="L19" s="27">
        <v>0.57278487946131806</v>
      </c>
      <c r="M19" s="27">
        <v>0.47924819129979629</v>
      </c>
      <c r="N19" s="27">
        <v>0.39786673414556806</v>
      </c>
      <c r="O19" s="40" t="s">
        <v>2425</v>
      </c>
      <c r="P19" s="5">
        <f>SUM(I19:I22)</f>
        <v>32782160.953262202</v>
      </c>
    </row>
    <row r="20" spans="2:16" ht="16" x14ac:dyDescent="0.35">
      <c r="B20" s="76"/>
      <c r="D20" s="110" t="s">
        <v>2391</v>
      </c>
      <c r="E20" s="130">
        <v>62.658901484640637</v>
      </c>
      <c r="F20" s="111">
        <v>3.6276926682228393E-2</v>
      </c>
      <c r="G20" s="112">
        <v>6964096</v>
      </c>
      <c r="H20" s="112">
        <v>436362605.19357991</v>
      </c>
      <c r="I20" s="113">
        <f>+F20*E20*G20</f>
        <v>15829894.235473674</v>
      </c>
      <c r="J20" s="44">
        <f>+I20/SUM($I$19:$I$22)</f>
        <v>0.48288135300300933</v>
      </c>
      <c r="K20" s="44">
        <f>+G20/SUM($G$19:$G$22)</f>
        <v>0.3608646350848137</v>
      </c>
      <c r="L20" s="27">
        <v>0.1542408375760472</v>
      </c>
      <c r="M20" s="77">
        <v>0.11857748658260886</v>
      </c>
      <c r="N20" s="27">
        <v>9.8900704413035084E-2</v>
      </c>
      <c r="O20" s="40" t="s">
        <v>2426</v>
      </c>
      <c r="P20" s="15">
        <f>P19/P18</f>
        <v>1.8798001379067102E-2</v>
      </c>
    </row>
    <row r="21" spans="2:16" x14ac:dyDescent="0.35">
      <c r="D21" s="42" t="s">
        <v>2392</v>
      </c>
      <c r="E21" s="94">
        <v>190.80255959565059</v>
      </c>
      <c r="F21" s="27">
        <v>1.2421136965461169E-2</v>
      </c>
      <c r="G21" s="4">
        <v>2691058</v>
      </c>
      <c r="H21" s="4">
        <v>513460754.42035228</v>
      </c>
      <c r="I21" s="43">
        <f>+F21*E21*G21</f>
        <v>6377766.3570442162</v>
      </c>
      <c r="J21" s="44">
        <f>+I21/SUM($I$19:$I$22)</f>
        <v>0.194549906765971</v>
      </c>
      <c r="K21" s="44">
        <f>+G21/SUM($G$19:$G$22)</f>
        <v>0.13944489897354495</v>
      </c>
      <c r="L21" s="27">
        <v>4.2549435946754026E-2</v>
      </c>
      <c r="M21" s="27">
        <v>3.3321838473938506E-2</v>
      </c>
      <c r="N21" s="27">
        <v>2.7701744072405724E-2</v>
      </c>
      <c r="O21" s="6"/>
      <c r="P21" s="15"/>
    </row>
    <row r="22" spans="2:16" x14ac:dyDescent="0.35">
      <c r="D22" s="41" t="s">
        <v>2393</v>
      </c>
      <c r="E22" s="94">
        <v>547.55264243732586</v>
      </c>
      <c r="F22" s="27">
        <v>5.1997399007642098E-3</v>
      </c>
      <c r="G22" s="4">
        <v>1336413</v>
      </c>
      <c r="H22" s="4">
        <v>731756469.53759396</v>
      </c>
      <c r="I22" s="8">
        <f>+F22*E22*G22</f>
        <v>3804943.3122969773</v>
      </c>
      <c r="J22" s="9">
        <f>+I22/SUM($I$19:$I$22)</f>
        <v>0.11606749529787608</v>
      </c>
      <c r="K22" s="9">
        <f>+G22/SUM($G$19:$G$22)</f>
        <v>6.9250077765671395E-2</v>
      </c>
      <c r="L22" s="27">
        <v>1.5772818731933917E-2</v>
      </c>
      <c r="M22" s="27">
        <v>1.2615112244493281E-2</v>
      </c>
      <c r="N22" s="27">
        <v>1.0406214246643815E-2</v>
      </c>
      <c r="O22" s="6"/>
      <c r="P22" s="6"/>
    </row>
    <row r="23" spans="2:16" x14ac:dyDescent="0.35">
      <c r="D23" s="6"/>
      <c r="E23" s="37"/>
      <c r="F23" s="24"/>
      <c r="G23" s="36"/>
      <c r="H23" s="36"/>
      <c r="I23" s="45"/>
      <c r="J23" s="46"/>
      <c r="K23" s="46"/>
      <c r="L23" s="24"/>
      <c r="M23" s="24"/>
      <c r="N23" s="24"/>
      <c r="O23" s="6"/>
      <c r="P23" s="6"/>
    </row>
    <row r="24" spans="2:16" x14ac:dyDescent="0.35">
      <c r="D24" s="6" t="s">
        <v>2382</v>
      </c>
      <c r="E24" s="37"/>
      <c r="F24" s="24"/>
      <c r="G24" s="36"/>
      <c r="H24" s="36"/>
      <c r="I24" s="45"/>
      <c r="J24" s="46"/>
      <c r="K24" s="46"/>
      <c r="L24" s="24"/>
      <c r="M24" s="24"/>
      <c r="N24" s="24"/>
      <c r="O24" s="6"/>
      <c r="P24" s="6"/>
    </row>
    <row r="25" spans="2:16" x14ac:dyDescent="0.35">
      <c r="D25" s="39" t="s">
        <v>2401</v>
      </c>
      <c r="E25" s="39" t="s">
        <v>2402</v>
      </c>
      <c r="F25" s="47" t="s">
        <v>2420</v>
      </c>
      <c r="G25" s="39" t="s">
        <v>2421</v>
      </c>
      <c r="H25" s="39" t="s">
        <v>2422</v>
      </c>
      <c r="I25" s="40" t="s">
        <v>2423</v>
      </c>
      <c r="J25" s="40" t="s">
        <v>2407</v>
      </c>
      <c r="K25" s="40" t="s">
        <v>2404</v>
      </c>
      <c r="L25" s="47" t="s">
        <v>2417</v>
      </c>
      <c r="M25" s="47" t="s">
        <v>2418</v>
      </c>
      <c r="N25" s="47" t="s">
        <v>2419</v>
      </c>
      <c r="O25" s="40" t="s">
        <v>2424</v>
      </c>
      <c r="P25" s="36">
        <f>SUM(H26:H29)</f>
        <v>110272277.40683597</v>
      </c>
    </row>
    <row r="26" spans="2:16" x14ac:dyDescent="0.35">
      <c r="D26" s="42" t="s">
        <v>2390</v>
      </c>
      <c r="E26" s="23">
        <v>5.4375282111690169</v>
      </c>
      <c r="F26" s="27">
        <v>0.22020903334784411</v>
      </c>
      <c r="G26" s="36">
        <v>4603476</v>
      </c>
      <c r="H26" s="36">
        <v>25031530.619439501</v>
      </c>
      <c r="I26" s="43">
        <f>+F26*E26*G26</f>
        <v>5512169.1609237343</v>
      </c>
      <c r="J26" s="44">
        <f>+I26/SUM($I$19:$I$22)</f>
        <v>0.16814538763269693</v>
      </c>
      <c r="K26" s="44">
        <f>+G26/SUM($G$19:$G$22)</f>
        <v>0.23854233009735903</v>
      </c>
      <c r="L26" s="27">
        <v>0.66450590814419364</v>
      </c>
      <c r="M26" s="27">
        <v>0.60594103238509334</v>
      </c>
      <c r="N26" s="27">
        <v>0.56282513474600493</v>
      </c>
      <c r="O26" s="40" t="s">
        <v>2425</v>
      </c>
      <c r="P26" s="5">
        <f>SUM(I26:I29)</f>
        <v>11983610.221936008</v>
      </c>
    </row>
    <row r="27" spans="2:16" x14ac:dyDescent="0.35">
      <c r="D27" s="42" t="s">
        <v>2391</v>
      </c>
      <c r="E27" s="23">
        <v>52.807763689908057</v>
      </c>
      <c r="F27" s="27">
        <v>9.2599555343513454E-2</v>
      </c>
      <c r="G27" s="36">
        <v>949497</v>
      </c>
      <c r="H27" s="36">
        <v>50140813.200276628</v>
      </c>
      <c r="I27" s="43">
        <f>+F27*E27*G27</f>
        <v>4643017.0069077853</v>
      </c>
      <c r="J27" s="44">
        <f>+I27/SUM($I$19:$I$22)</f>
        <v>0.14163242665812584</v>
      </c>
      <c r="K27" s="44">
        <f>+G27/SUM($G$19:$G$22)</f>
        <v>4.9200914005080539E-2</v>
      </c>
      <c r="L27" s="27">
        <v>0.25242523146465973</v>
      </c>
      <c r="M27" s="27">
        <v>0.21516550341917878</v>
      </c>
      <c r="N27" s="27">
        <v>0.1932696996409678</v>
      </c>
      <c r="O27" s="40" t="s">
        <v>2426</v>
      </c>
      <c r="P27" s="15">
        <f>P26/P25</f>
        <v>0.10867291855888635</v>
      </c>
    </row>
    <row r="28" spans="2:16" x14ac:dyDescent="0.35">
      <c r="D28" s="42" t="s">
        <v>2392</v>
      </c>
      <c r="E28" s="23">
        <v>179.84715602681476</v>
      </c>
      <c r="F28" s="27">
        <v>5.8142517854039608E-2</v>
      </c>
      <c r="G28" s="36">
        <v>120841</v>
      </c>
      <c r="H28" s="36">
        <v>21732910.181436323</v>
      </c>
      <c r="I28" s="43">
        <f>+F28*E28*G28</f>
        <v>1263606.1182444005</v>
      </c>
      <c r="J28" s="44">
        <f>+I28/SUM($I$19:$I$22)</f>
        <v>3.8545540669083229E-2</v>
      </c>
      <c r="K28" s="44">
        <f>+G28/SUM($G$19:$G$22)</f>
        <v>6.2617234696770363E-3</v>
      </c>
      <c r="L28" s="27">
        <v>0.13920771923436581</v>
      </c>
      <c r="M28" s="27">
        <v>0.12350112958350229</v>
      </c>
      <c r="N28" s="27">
        <v>0.11224667124568648</v>
      </c>
      <c r="O28" s="6"/>
      <c r="P28" s="6"/>
    </row>
    <row r="29" spans="2:16" x14ac:dyDescent="0.35">
      <c r="D29" s="41" t="s">
        <v>2393</v>
      </c>
      <c r="E29" s="23">
        <v>501.61450786864003</v>
      </c>
      <c r="F29" s="27">
        <v>4.225457820474332E-2</v>
      </c>
      <c r="G29" s="36">
        <v>26648</v>
      </c>
      <c r="H29" s="36">
        <v>13367023.405683519</v>
      </c>
      <c r="I29" s="8">
        <f>+F29*E29*G29</f>
        <v>564817.93586008868</v>
      </c>
      <c r="J29" s="68">
        <f>+I29/SUM($I$19:$I$22)</f>
        <v>1.7229429648196598E-2</v>
      </c>
      <c r="K29" s="68">
        <f>+G29/SUM($G$19:$G$22)</f>
        <v>1.3808426529071563E-3</v>
      </c>
      <c r="L29" s="27">
        <v>9.2427199039327529E-2</v>
      </c>
      <c r="M29" s="27">
        <v>8.4096367457220059E-2</v>
      </c>
      <c r="N29" s="27">
        <v>7.6516061242870012E-2</v>
      </c>
      <c r="O29" s="6"/>
      <c r="P29" s="6"/>
    </row>
    <row r="35" spans="4:14" ht="15" thickBot="1" x14ac:dyDescent="0.4">
      <c r="D35" t="s">
        <v>2432</v>
      </c>
    </row>
    <row r="36" spans="4:14" ht="47" thickBot="1" x14ac:dyDescent="0.4">
      <c r="D36" s="29" t="s">
        <v>2401</v>
      </c>
      <c r="E36" s="29" t="s">
        <v>2402</v>
      </c>
      <c r="F36" s="29" t="s">
        <v>2403</v>
      </c>
      <c r="G36" s="29" t="s">
        <v>2404</v>
      </c>
      <c r="H36" s="29" t="s">
        <v>2405</v>
      </c>
      <c r="I36" s="29" t="s">
        <v>2406</v>
      </c>
      <c r="J36" s="29" t="s">
        <v>2407</v>
      </c>
      <c r="K36" s="29" t="s">
        <v>2408</v>
      </c>
      <c r="L36" s="29" t="s">
        <v>2409</v>
      </c>
      <c r="M36" s="29" t="s">
        <v>2410</v>
      </c>
      <c r="N36" s="29" t="s">
        <v>2411</v>
      </c>
    </row>
    <row r="37" spans="4:14" ht="16" thickBot="1" x14ac:dyDescent="0.4">
      <c r="D37" s="30" t="s">
        <v>2390</v>
      </c>
      <c r="E37" s="30">
        <v>7.5</v>
      </c>
      <c r="F37" s="30">
        <v>8.3000000000000007</v>
      </c>
      <c r="G37" s="31">
        <v>0.43</v>
      </c>
      <c r="H37" s="30">
        <v>62.3</v>
      </c>
      <c r="I37" s="30">
        <v>6.8</v>
      </c>
      <c r="J37" s="31">
        <v>0.20699999999999999</v>
      </c>
      <c r="K37" s="31">
        <v>0.57299999999999995</v>
      </c>
      <c r="L37" s="31">
        <v>0.47899999999999998</v>
      </c>
      <c r="M37" s="31">
        <v>0.39800000000000002</v>
      </c>
      <c r="N37" s="31">
        <v>0.109</v>
      </c>
    </row>
    <row r="38" spans="4:14" ht="16" thickBot="1" x14ac:dyDescent="0.4">
      <c r="D38" s="32" t="s">
        <v>2391</v>
      </c>
      <c r="E38" s="32">
        <v>62.7</v>
      </c>
      <c r="F38" s="32">
        <v>7</v>
      </c>
      <c r="G38" s="33">
        <v>0.36099999999999999</v>
      </c>
      <c r="H38" s="32">
        <v>436.4</v>
      </c>
      <c r="I38" s="32">
        <v>15.8</v>
      </c>
      <c r="J38" s="33">
        <v>0.48299999999999998</v>
      </c>
      <c r="K38" s="33">
        <v>0.154</v>
      </c>
      <c r="L38" s="33">
        <v>0.11899999999999999</v>
      </c>
      <c r="M38" s="33">
        <v>9.9000000000000005E-2</v>
      </c>
      <c r="N38" s="33">
        <v>3.5999999999999997E-2</v>
      </c>
    </row>
    <row r="39" spans="4:14" ht="16" thickBot="1" x14ac:dyDescent="0.4">
      <c r="D39" s="30" t="s">
        <v>2392</v>
      </c>
      <c r="E39" s="30">
        <v>190.8</v>
      </c>
      <c r="F39" s="30">
        <v>2.7</v>
      </c>
      <c r="G39" s="31">
        <v>0.13900000000000001</v>
      </c>
      <c r="H39" s="30">
        <v>513.5</v>
      </c>
      <c r="I39" s="30">
        <v>6.4</v>
      </c>
      <c r="J39" s="31">
        <v>0.19500000000000001</v>
      </c>
      <c r="K39" s="31">
        <v>4.2999999999999997E-2</v>
      </c>
      <c r="L39" s="31">
        <v>3.3000000000000002E-2</v>
      </c>
      <c r="M39" s="31">
        <v>2.8000000000000001E-2</v>
      </c>
      <c r="N39" s="31">
        <v>1.2E-2</v>
      </c>
    </row>
    <row r="40" spans="4:14" ht="16" thickBot="1" x14ac:dyDescent="0.4">
      <c r="D40" s="34" t="s">
        <v>2393</v>
      </c>
      <c r="E40" s="34">
        <v>547.6</v>
      </c>
      <c r="F40" s="34">
        <v>1.3</v>
      </c>
      <c r="G40" s="35">
        <v>6.9000000000000006E-2</v>
      </c>
      <c r="H40" s="34">
        <v>731.8</v>
      </c>
      <c r="I40" s="34">
        <v>3.8</v>
      </c>
      <c r="J40" s="35">
        <v>0.11600000000000001</v>
      </c>
      <c r="K40" s="35">
        <v>1.6E-2</v>
      </c>
      <c r="L40" s="35">
        <v>1.2999999999999999E-2</v>
      </c>
      <c r="M40" s="35">
        <v>0.01</v>
      </c>
      <c r="N40" s="35">
        <v>5.0000000000000001E-3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1C5F-6618-4B46-88AA-9E9760BEB48C}">
  <dimension ref="A2:G7"/>
  <sheetViews>
    <sheetView workbookViewId="0">
      <selection activeCell="G6" sqref="G6"/>
    </sheetView>
  </sheetViews>
  <sheetFormatPr defaultRowHeight="14.5" x14ac:dyDescent="0.35"/>
  <sheetData>
    <row r="2" spans="1:7" x14ac:dyDescent="0.35">
      <c r="B2" t="s">
        <v>2438</v>
      </c>
      <c r="C2" t="s">
        <v>2465</v>
      </c>
      <c r="D2" t="s">
        <v>2466</v>
      </c>
      <c r="E2" t="s">
        <v>2470</v>
      </c>
      <c r="F2" t="s">
        <v>2464</v>
      </c>
    </row>
    <row r="3" spans="1:7" x14ac:dyDescent="0.35">
      <c r="B3">
        <v>50</v>
      </c>
      <c r="C3">
        <v>5</v>
      </c>
      <c r="D3" s="128">
        <f>C3/B3</f>
        <v>0.1</v>
      </c>
      <c r="E3">
        <v>100</v>
      </c>
      <c r="F3">
        <f>E3/B3</f>
        <v>2</v>
      </c>
      <c r="G3">
        <f>F3*D3*B3</f>
        <v>10</v>
      </c>
    </row>
    <row r="5" spans="1:7" x14ac:dyDescent="0.35">
      <c r="A5" t="s">
        <v>2467</v>
      </c>
      <c r="B5">
        <v>30</v>
      </c>
      <c r="C5">
        <v>5</v>
      </c>
      <c r="D5" s="128">
        <f>C5/B5</f>
        <v>0.16666666666666666</v>
      </c>
      <c r="E5">
        <v>50</v>
      </c>
      <c r="F5" s="37">
        <f>E5/B5</f>
        <v>1.6666666666666667</v>
      </c>
      <c r="G5" s="37">
        <f>F5*D5*B5</f>
        <v>8.3333333333333339</v>
      </c>
    </row>
    <row r="6" spans="1:7" x14ac:dyDescent="0.35">
      <c r="A6" t="s">
        <v>2468</v>
      </c>
      <c r="B6">
        <v>10</v>
      </c>
      <c r="C6">
        <v>5</v>
      </c>
      <c r="D6" s="128">
        <f t="shared" ref="D6:D7" si="0">C6/B6</f>
        <v>0.5</v>
      </c>
      <c r="E6">
        <v>30</v>
      </c>
      <c r="F6" s="37">
        <f t="shared" ref="F6:F7" si="1">E6/B6</f>
        <v>3</v>
      </c>
      <c r="G6" s="37">
        <f>F6*D6*B6</f>
        <v>15</v>
      </c>
    </row>
    <row r="7" spans="1:7" x14ac:dyDescent="0.35">
      <c r="A7" t="s">
        <v>2469</v>
      </c>
      <c r="B7">
        <v>10</v>
      </c>
      <c r="C7">
        <v>5</v>
      </c>
      <c r="D7" s="128">
        <f t="shared" si="0"/>
        <v>0.5</v>
      </c>
      <c r="E7">
        <v>20</v>
      </c>
      <c r="F7" s="37">
        <f t="shared" si="1"/>
        <v>2</v>
      </c>
      <c r="G7" s="37">
        <f>F7*D7*B7</f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C3C9-78FB-4997-B998-04111D306FBC}">
  <sheetPr>
    <tabColor rgb="FFFFC000"/>
  </sheetPr>
  <dimension ref="B1:S34"/>
  <sheetViews>
    <sheetView zoomScale="80" zoomScaleNormal="80" workbookViewId="0">
      <selection activeCell="I17" sqref="I17:I20"/>
    </sheetView>
  </sheetViews>
  <sheetFormatPr defaultRowHeight="14.5" x14ac:dyDescent="0.35"/>
  <cols>
    <col min="1" max="1" width="3.90625" style="67" customWidth="1"/>
    <col min="2" max="2" width="14" style="67" bestFit="1" customWidth="1"/>
    <col min="3" max="3" width="17" style="67" bestFit="1" customWidth="1"/>
    <col min="4" max="4" width="18.7265625" style="67" bestFit="1" customWidth="1"/>
    <col min="5" max="5" width="16.54296875" style="67" bestFit="1" customWidth="1"/>
    <col min="6" max="6" width="19.7265625" style="67" bestFit="1" customWidth="1"/>
    <col min="7" max="7" width="12.453125" style="67" bestFit="1" customWidth="1"/>
    <col min="8" max="8" width="22.36328125" style="67" bestFit="1" customWidth="1"/>
    <col min="9" max="12" width="23.36328125" style="67" bestFit="1" customWidth="1"/>
    <col min="13" max="13" width="11.90625" style="67" bestFit="1" customWidth="1"/>
    <col min="14" max="17" width="12.90625" style="67" bestFit="1" customWidth="1"/>
    <col min="18" max="18" width="8.7265625" style="67"/>
    <col min="19" max="19" width="20.6328125" style="67" bestFit="1" customWidth="1"/>
    <col min="20" max="16384" width="8.7265625" style="67"/>
  </cols>
  <sheetData>
    <row r="1" spans="2:19" x14ac:dyDescent="0.35">
      <c r="B1" s="3" t="s">
        <v>12</v>
      </c>
      <c r="C1" s="67" t="s">
        <v>2385</v>
      </c>
    </row>
    <row r="2" spans="2:19" x14ac:dyDescent="0.35">
      <c r="B2" s="3" t="s">
        <v>2394</v>
      </c>
      <c r="C2" s="67" t="s">
        <v>2391</v>
      </c>
    </row>
    <row r="3" spans="2:19" x14ac:dyDescent="0.35">
      <c r="B3" s="3" t="s">
        <v>9</v>
      </c>
      <c r="C3" s="67" t="s">
        <v>2385</v>
      </c>
      <c r="H3" s="79">
        <f>$L$7/H7</f>
        <v>0.24556786923823001</v>
      </c>
      <c r="I3" s="79">
        <f t="shared" ref="I3:L3" si="0">$L$7/I7</f>
        <v>0.3209446822659075</v>
      </c>
      <c r="J3" s="79">
        <f t="shared" si="0"/>
        <v>0.38440669528965216</v>
      </c>
      <c r="K3" s="79">
        <f t="shared" si="0"/>
        <v>0.5114326870539927</v>
      </c>
      <c r="L3" s="79">
        <f t="shared" si="0"/>
        <v>1</v>
      </c>
    </row>
    <row r="5" spans="2:19" x14ac:dyDescent="0.35">
      <c r="B5" s="3" t="s">
        <v>2352</v>
      </c>
      <c r="C5" s="67" t="s">
        <v>2357</v>
      </c>
      <c r="D5" s="67" t="s">
        <v>2386</v>
      </c>
      <c r="E5" s="67" t="s">
        <v>2388</v>
      </c>
      <c r="F5" s="67" t="s">
        <v>2389</v>
      </c>
      <c r="G5" s="67" t="s">
        <v>2387</v>
      </c>
      <c r="H5" s="67" t="s">
        <v>2374</v>
      </c>
      <c r="I5" s="67" t="s">
        <v>2375</v>
      </c>
      <c r="J5" s="67" t="s">
        <v>2376</v>
      </c>
      <c r="K5" s="67" t="s">
        <v>2377</v>
      </c>
      <c r="L5" s="67" t="s">
        <v>2378</v>
      </c>
      <c r="M5" s="67" t="s">
        <v>2412</v>
      </c>
      <c r="N5" s="67" t="s">
        <v>2413</v>
      </c>
      <c r="O5" s="67" t="s">
        <v>2414</v>
      </c>
      <c r="P5" s="67" t="s">
        <v>2415</v>
      </c>
      <c r="Q5" s="67" t="s">
        <v>2416</v>
      </c>
    </row>
    <row r="6" spans="2:19" x14ac:dyDescent="0.35">
      <c r="B6" s="81" t="s">
        <v>38</v>
      </c>
      <c r="C6" s="4">
        <v>2872645</v>
      </c>
      <c r="D6" s="4">
        <v>104849636.57660869</v>
      </c>
      <c r="E6" s="24">
        <v>0.41249359572297684</v>
      </c>
      <c r="F6" s="24">
        <v>0.24028098496225428</v>
      </c>
      <c r="G6" s="23">
        <v>36.499336526653551</v>
      </c>
      <c r="H6" s="4">
        <v>635035</v>
      </c>
      <c r="I6" s="4">
        <v>488684</v>
      </c>
      <c r="J6" s="4">
        <v>407531</v>
      </c>
      <c r="K6" s="4">
        <v>287408</v>
      </c>
      <c r="L6" s="4">
        <v>140676</v>
      </c>
      <c r="M6" s="24">
        <v>0.22106281841299569</v>
      </c>
      <c r="N6" s="24">
        <v>0.17011639099157744</v>
      </c>
      <c r="O6" s="24">
        <v>0.14186611989995282</v>
      </c>
      <c r="P6" s="24">
        <v>0.10004995396228911</v>
      </c>
      <c r="Q6" s="24">
        <v>4.8970896160159018E-2</v>
      </c>
      <c r="R6" s="17"/>
      <c r="S6" s="17"/>
    </row>
    <row r="7" spans="2:19" x14ac:dyDescent="0.35">
      <c r="B7" s="81" t="s">
        <v>40</v>
      </c>
      <c r="C7" s="4">
        <v>1869758</v>
      </c>
      <c r="D7" s="4">
        <v>115331227.53217034</v>
      </c>
      <c r="E7" s="24">
        <v>0.26848538561214552</v>
      </c>
      <c r="F7" s="24">
        <v>0.26430135433123764</v>
      </c>
      <c r="G7" s="23">
        <v>61.682435658609478</v>
      </c>
      <c r="H7" s="4">
        <v>251572</v>
      </c>
      <c r="I7" s="4">
        <v>192488</v>
      </c>
      <c r="J7" s="4">
        <v>160710</v>
      </c>
      <c r="K7" s="4">
        <v>120794</v>
      </c>
      <c r="L7" s="4">
        <v>61778</v>
      </c>
      <c r="M7" s="24">
        <v>0.13454789336374012</v>
      </c>
      <c r="N7" s="24">
        <v>0.1029480820512601</v>
      </c>
      <c r="O7" s="24">
        <v>8.5952299709374153E-2</v>
      </c>
      <c r="P7" s="24">
        <v>6.46040824534512E-2</v>
      </c>
      <c r="Q7" s="24">
        <v>3.3040639483826247E-2</v>
      </c>
      <c r="R7" s="17"/>
      <c r="S7" s="17"/>
    </row>
    <row r="8" spans="2:19" x14ac:dyDescent="0.35">
      <c r="B8" s="81" t="s">
        <v>41</v>
      </c>
      <c r="C8" s="4">
        <v>1290283</v>
      </c>
      <c r="D8" s="4">
        <v>111997646.67338756</v>
      </c>
      <c r="E8" s="24">
        <v>0.18527645224879152</v>
      </c>
      <c r="F8" s="24">
        <v>0.25666188014370056</v>
      </c>
      <c r="G8" s="23">
        <v>86.800838787605173</v>
      </c>
      <c r="H8" s="4">
        <v>121543</v>
      </c>
      <c r="I8" s="4">
        <v>93576</v>
      </c>
      <c r="J8" s="4">
        <v>78038</v>
      </c>
      <c r="K8" s="4">
        <v>59994</v>
      </c>
      <c r="L8" s="4">
        <v>32020</v>
      </c>
      <c r="M8" s="24">
        <v>9.419871454556869E-2</v>
      </c>
      <c r="N8" s="24">
        <v>7.2523624662186509E-2</v>
      </c>
      <c r="O8" s="24">
        <v>6.0481305264038977E-2</v>
      </c>
      <c r="P8" s="24">
        <v>4.6496776288612651E-2</v>
      </c>
      <c r="Q8" s="24">
        <v>2.4816261238813499E-2</v>
      </c>
      <c r="R8" s="17"/>
      <c r="S8" s="17"/>
    </row>
    <row r="9" spans="2:19" x14ac:dyDescent="0.35">
      <c r="B9" s="81" t="s">
        <v>34</v>
      </c>
      <c r="C9" s="4">
        <v>931410</v>
      </c>
      <c r="D9" s="4">
        <v>104184094.41141336</v>
      </c>
      <c r="E9" s="24">
        <v>0.13374456641608617</v>
      </c>
      <c r="F9" s="24">
        <v>0.23875578056280744</v>
      </c>
      <c r="G9" s="23">
        <v>111.85631935604445</v>
      </c>
      <c r="H9" s="4">
        <v>65998</v>
      </c>
      <c r="I9" s="4">
        <v>51037</v>
      </c>
      <c r="J9" s="4">
        <v>42475</v>
      </c>
      <c r="K9" s="4">
        <v>33004</v>
      </c>
      <c r="L9" s="4">
        <v>18162</v>
      </c>
      <c r="M9" s="24">
        <v>7.0858161282356863E-2</v>
      </c>
      <c r="N9" s="24">
        <v>5.4795417700046166E-2</v>
      </c>
      <c r="O9" s="24">
        <v>4.5602903125369063E-2</v>
      </c>
      <c r="P9" s="24">
        <v>3.5434448846372701E-2</v>
      </c>
      <c r="Q9" s="24">
        <v>1.9499468547685767E-2</v>
      </c>
      <c r="R9" s="17"/>
      <c r="S9" s="17"/>
    </row>
    <row r="10" spans="2:19" x14ac:dyDescent="0.35">
      <c r="B10" s="81" t="s">
        <v>2353</v>
      </c>
      <c r="C10" s="4">
        <v>6964096</v>
      </c>
      <c r="D10" s="4">
        <v>436362605.19357997</v>
      </c>
      <c r="E10" s="24">
        <v>1</v>
      </c>
      <c r="F10" s="24">
        <v>1</v>
      </c>
      <c r="G10" s="23">
        <v>62.658901484640637</v>
      </c>
      <c r="H10" s="4">
        <v>1074148</v>
      </c>
      <c r="I10" s="4">
        <v>825785</v>
      </c>
      <c r="J10" s="4">
        <v>688754</v>
      </c>
      <c r="K10" s="4">
        <v>501200</v>
      </c>
      <c r="L10" s="4">
        <v>252636</v>
      </c>
      <c r="M10" s="24">
        <v>0.1542408375760472</v>
      </c>
      <c r="N10" s="24">
        <v>0.11857748658260886</v>
      </c>
      <c r="O10" s="24">
        <v>9.8900704413035084E-2</v>
      </c>
      <c r="P10" s="24">
        <v>7.1969140000367596E-2</v>
      </c>
      <c r="Q10" s="24">
        <v>3.6276926682228393E-2</v>
      </c>
    </row>
    <row r="11" spans="2:19" x14ac:dyDescent="0.35">
      <c r="B11"/>
      <c r="C11"/>
      <c r="D11"/>
      <c r="E11"/>
      <c r="F11"/>
      <c r="H11"/>
      <c r="I11"/>
      <c r="J11"/>
      <c r="K11"/>
      <c r="L11"/>
      <c r="M11"/>
      <c r="N11"/>
      <c r="O11"/>
      <c r="P11"/>
      <c r="Q11"/>
    </row>
    <row r="12" spans="2:19" x14ac:dyDescent="0.35">
      <c r="B12"/>
      <c r="C12"/>
      <c r="D12"/>
      <c r="E12"/>
      <c r="F12"/>
      <c r="H12" s="78"/>
      <c r="I12" s="118">
        <f>I17/G17</f>
        <v>1.7874052189614504</v>
      </c>
      <c r="J12" s="78"/>
      <c r="K12" s="78"/>
      <c r="L12" s="78"/>
      <c r="M12"/>
      <c r="N12"/>
      <c r="O12"/>
      <c r="P12"/>
      <c r="Q12"/>
    </row>
    <row r="13" spans="2:19" x14ac:dyDescent="0.35">
      <c r="H13" s="78"/>
      <c r="I13" s="118">
        <f t="shared" ref="I13:I15" si="1">I18/G18</f>
        <v>2.0380271190804242</v>
      </c>
      <c r="J13" s="78"/>
      <c r="K13" s="78"/>
      <c r="L13" s="78"/>
    </row>
    <row r="14" spans="2:19" x14ac:dyDescent="0.35">
      <c r="H14" s="78"/>
      <c r="I14" s="118">
        <f t="shared" si="1"/>
        <v>2.1540722911013455</v>
      </c>
      <c r="J14" s="78"/>
      <c r="K14" s="78"/>
      <c r="L14" s="78"/>
    </row>
    <row r="15" spans="2:19" x14ac:dyDescent="0.35">
      <c r="D15" s="67" t="s">
        <v>2383</v>
      </c>
      <c r="G15" s="23"/>
      <c r="H15" s="78"/>
      <c r="I15" s="118">
        <f t="shared" si="1"/>
        <v>2.1811387811430833</v>
      </c>
      <c r="J15" s="78"/>
      <c r="K15" s="78"/>
      <c r="L15" s="78"/>
    </row>
    <row r="16" spans="2:19" ht="16" x14ac:dyDescent="0.35">
      <c r="B16" s="76"/>
      <c r="D16" s="39" t="s">
        <v>2446</v>
      </c>
      <c r="E16" s="39" t="s">
        <v>2402</v>
      </c>
      <c r="F16" s="39" t="s">
        <v>2420</v>
      </c>
      <c r="G16" s="39" t="s">
        <v>2421</v>
      </c>
      <c r="H16" s="39" t="s">
        <v>2422</v>
      </c>
      <c r="I16" s="40" t="s">
        <v>2423</v>
      </c>
      <c r="J16" s="40" t="s">
        <v>2407</v>
      </c>
      <c r="K16" s="40" t="s">
        <v>2404</v>
      </c>
      <c r="L16" s="39" t="s">
        <v>2417</v>
      </c>
      <c r="M16" s="39" t="s">
        <v>2418</v>
      </c>
      <c r="N16" s="39" t="s">
        <v>2419</v>
      </c>
      <c r="O16" s="92" t="s">
        <v>2424</v>
      </c>
      <c r="P16" s="36">
        <f>SUM(H17:H20)</f>
        <v>436362605.19357997</v>
      </c>
    </row>
    <row r="17" spans="2:16" ht="16" x14ac:dyDescent="0.35">
      <c r="B17" s="76"/>
      <c r="C17" s="67">
        <v>140676</v>
      </c>
      <c r="D17" s="93" t="s">
        <v>38</v>
      </c>
      <c r="E17" s="94">
        <v>36.499336526653551</v>
      </c>
      <c r="F17" s="95">
        <v>4.8970896160159018E-2</v>
      </c>
      <c r="G17" s="96">
        <v>2872645</v>
      </c>
      <c r="H17" s="96">
        <v>104849636.57660869</v>
      </c>
      <c r="I17" s="8">
        <f>+F17*E17*G17</f>
        <v>5134580.6652235156</v>
      </c>
      <c r="J17" s="68">
        <f>+I17/SUM($I$17:$I$20)</f>
        <v>0.37325857931007922</v>
      </c>
      <c r="K17" s="68">
        <f>+G17/SUM($G$17:$G$20)</f>
        <v>0.41249359572297684</v>
      </c>
      <c r="L17" s="95">
        <v>0.22106281841299569</v>
      </c>
      <c r="M17" s="95">
        <v>0.17011639099157744</v>
      </c>
      <c r="N17" s="95">
        <v>0.14186611989995282</v>
      </c>
      <c r="O17" s="92" t="s">
        <v>2425</v>
      </c>
      <c r="P17" s="5">
        <f>SUM(I17:I20)</f>
        <v>13756095.505464688</v>
      </c>
    </row>
    <row r="18" spans="2:16" ht="16" x14ac:dyDescent="0.35">
      <c r="B18" s="76"/>
      <c r="C18" s="67">
        <v>61778</v>
      </c>
      <c r="D18" s="93" t="s">
        <v>40</v>
      </c>
      <c r="E18" s="94">
        <v>61.682435658609478</v>
      </c>
      <c r="F18" s="95">
        <v>3.3040639483826247E-2</v>
      </c>
      <c r="G18" s="96">
        <v>1869758</v>
      </c>
      <c r="H18" s="96">
        <v>115331227.53217034</v>
      </c>
      <c r="I18" s="43">
        <f>+F18*E18*G18</f>
        <v>3810617.510117576</v>
      </c>
      <c r="J18" s="44">
        <f>+I18/SUM($I$17:$I$20)</f>
        <v>0.27701301641906939</v>
      </c>
      <c r="K18" s="44">
        <f>+G18/SUM($G$17:$G$20)</f>
        <v>0.26848538561214552</v>
      </c>
      <c r="L18" s="95">
        <v>0.13454789336374012</v>
      </c>
      <c r="M18" s="95">
        <v>0.1029480820512601</v>
      </c>
      <c r="N18" s="95">
        <v>8.5952299709374153E-2</v>
      </c>
      <c r="O18" s="92" t="s">
        <v>2426</v>
      </c>
      <c r="P18" s="15">
        <f>P17/P16</f>
        <v>3.1524460028746468E-2</v>
      </c>
    </row>
    <row r="19" spans="2:16" x14ac:dyDescent="0.35">
      <c r="C19" s="67">
        <v>32020</v>
      </c>
      <c r="D19" s="93" t="s">
        <v>41</v>
      </c>
      <c r="E19" s="94">
        <v>86.800838787605173</v>
      </c>
      <c r="F19" s="95">
        <v>2.4816261238813499E-2</v>
      </c>
      <c r="G19" s="96">
        <v>1290283</v>
      </c>
      <c r="H19" s="96">
        <v>111997646.67338756</v>
      </c>
      <c r="I19" s="43">
        <f>+F19*E19*G19</f>
        <v>2779362.8579791174</v>
      </c>
      <c r="J19" s="44">
        <f>+I19/SUM($I$17:$I$20)</f>
        <v>0.20204591171055766</v>
      </c>
      <c r="K19" s="44">
        <f>+G19/SUM($G$17:$G$20)</f>
        <v>0.18527645224879152</v>
      </c>
      <c r="L19" s="95">
        <v>9.419871454556869E-2</v>
      </c>
      <c r="M19" s="95">
        <v>7.2523624662186509E-2</v>
      </c>
      <c r="N19" s="95">
        <v>6.0481305264038977E-2</v>
      </c>
    </row>
    <row r="20" spans="2:16" ht="15" thickBot="1" x14ac:dyDescent="0.4">
      <c r="C20" s="67">
        <v>18162</v>
      </c>
      <c r="D20" s="93" t="s">
        <v>34</v>
      </c>
      <c r="E20" s="94">
        <v>111.85631935604445</v>
      </c>
      <c r="F20" s="95">
        <v>1.9499468547685767E-2</v>
      </c>
      <c r="G20" s="96">
        <v>931410</v>
      </c>
      <c r="H20" s="96">
        <v>104184094.41141336</v>
      </c>
      <c r="I20" s="115">
        <f>+F20*E20*G20</f>
        <v>2031534.4721444792</v>
      </c>
      <c r="J20" s="68">
        <f>+I20/SUM($I$17:$I$20)</f>
        <v>0.14768249256029375</v>
      </c>
      <c r="K20" s="68">
        <f>+G20/SUM($G$17:$G$20)</f>
        <v>0.13374456641608617</v>
      </c>
      <c r="L20" s="95">
        <v>7.0858161282356863E-2</v>
      </c>
      <c r="M20" s="95">
        <v>5.4795417700046166E-2</v>
      </c>
      <c r="N20" s="95">
        <v>4.5602903125369063E-2</v>
      </c>
    </row>
    <row r="21" spans="2:16" x14ac:dyDescent="0.35">
      <c r="E21" s="37"/>
      <c r="F21" s="24"/>
      <c r="G21" s="36"/>
      <c r="H21" s="36"/>
      <c r="I21" s="116">
        <f>SUM(I17:I20)</f>
        <v>13756095.505464688</v>
      </c>
      <c r="J21" s="46"/>
      <c r="K21" s="46"/>
      <c r="L21" s="24"/>
      <c r="M21" s="24"/>
      <c r="N21" s="24"/>
    </row>
    <row r="22" spans="2:16" ht="15" thickBot="1" x14ac:dyDescent="0.4">
      <c r="E22" s="23">
        <v>62.658901484640637</v>
      </c>
      <c r="F22" s="27">
        <v>3.6276926682228393E-2</v>
      </c>
      <c r="G22" s="4">
        <v>6964096</v>
      </c>
      <c r="H22" s="4">
        <v>436362605.19357991</v>
      </c>
      <c r="I22" s="117">
        <f>+F22*E22*G22</f>
        <v>15829894.235473674</v>
      </c>
      <c r="J22" s="114"/>
      <c r="K22" s="44"/>
      <c r="L22" s="27">
        <v>0.1542408375760472</v>
      </c>
      <c r="M22" s="77">
        <v>0.11857748658260886</v>
      </c>
      <c r="N22" s="27">
        <v>9.8900704413035084E-2</v>
      </c>
    </row>
    <row r="24" spans="2:16" x14ac:dyDescent="0.35">
      <c r="F24" s="16">
        <f>SUMPRODUCT(E17:E20,G17:G20)/SUM(G17:G20)</f>
        <v>62.658901484640644</v>
      </c>
      <c r="I24" s="109">
        <f>I22-I21</f>
        <v>2073798.7300089858</v>
      </c>
    </row>
    <row r="27" spans="2:16" x14ac:dyDescent="0.35">
      <c r="G27" s="23"/>
    </row>
    <row r="28" spans="2:16" x14ac:dyDescent="0.35">
      <c r="G28" s="23"/>
    </row>
    <row r="29" spans="2:16" x14ac:dyDescent="0.35">
      <c r="D29" s="39" t="s">
        <v>2446</v>
      </c>
      <c r="E29" s="39" t="s">
        <v>2402</v>
      </c>
      <c r="F29" s="39" t="s">
        <v>2420</v>
      </c>
      <c r="G29" s="39" t="s">
        <v>2421</v>
      </c>
      <c r="H29" s="39" t="s">
        <v>2422</v>
      </c>
      <c r="I29" s="40" t="s">
        <v>2423</v>
      </c>
    </row>
    <row r="30" spans="2:16" x14ac:dyDescent="0.35">
      <c r="D30" s="93" t="s">
        <v>38</v>
      </c>
      <c r="E30" s="94">
        <v>36.499336526653551</v>
      </c>
      <c r="F30" s="95"/>
      <c r="G30" s="96">
        <v>2872645</v>
      </c>
      <c r="H30" s="96">
        <v>104849636.57660869</v>
      </c>
      <c r="I30" s="8">
        <f>+F30*E30*G30</f>
        <v>0</v>
      </c>
    </row>
    <row r="31" spans="2:16" x14ac:dyDescent="0.35">
      <c r="D31" s="93" t="s">
        <v>40</v>
      </c>
      <c r="E31" s="94">
        <v>61.682435658609478</v>
      </c>
      <c r="F31" s="95"/>
      <c r="G31" s="96">
        <v>1869758</v>
      </c>
      <c r="H31" s="96">
        <v>115331227.53217034</v>
      </c>
      <c r="I31" s="43">
        <f>+F31*E31*G31</f>
        <v>0</v>
      </c>
    </row>
    <row r="32" spans="2:16" x14ac:dyDescent="0.35">
      <c r="D32" s="93" t="s">
        <v>41</v>
      </c>
      <c r="E32" s="94">
        <v>86.800838787605173</v>
      </c>
      <c r="F32" s="95"/>
      <c r="G32" s="96">
        <v>1290283</v>
      </c>
      <c r="H32" s="96">
        <v>111997646.67338756</v>
      </c>
      <c r="I32" s="43">
        <f>+F32*E32*G32</f>
        <v>0</v>
      </c>
    </row>
    <row r="33" spans="4:9" x14ac:dyDescent="0.35">
      <c r="D33" s="93" t="s">
        <v>34</v>
      </c>
      <c r="E33" s="94">
        <v>111.85631935604445</v>
      </c>
      <c r="F33" s="95"/>
      <c r="G33" s="96">
        <v>931410</v>
      </c>
      <c r="H33" s="96">
        <v>104184094.41141336</v>
      </c>
      <c r="I33" s="8">
        <f>+F33*E33*G33</f>
        <v>0</v>
      </c>
    </row>
    <row r="34" spans="4:9" x14ac:dyDescent="0.35">
      <c r="E34" s="37"/>
      <c r="F34" s="24"/>
      <c r="G34" s="36"/>
      <c r="H34" s="36"/>
      <c r="I34" s="45">
        <f>SUM(I30:I33)</f>
        <v>0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50B0-112F-4CB1-8F71-C13DED4D071A}">
  <dimension ref="A1:D12"/>
  <sheetViews>
    <sheetView workbookViewId="0">
      <selection activeCell="G7" sqref="G7"/>
    </sheetView>
  </sheetViews>
  <sheetFormatPr defaultRowHeight="14.5" x14ac:dyDescent="0.35"/>
  <cols>
    <col min="1" max="1" width="10.08984375" bestFit="1" customWidth="1"/>
    <col min="2" max="2" width="14.90625" bestFit="1" customWidth="1"/>
    <col min="3" max="3" width="9.90625" bestFit="1" customWidth="1"/>
    <col min="4" max="4" width="20" bestFit="1" customWidth="1"/>
  </cols>
  <sheetData>
    <row r="1" spans="1:4" x14ac:dyDescent="0.35">
      <c r="A1" s="124" t="s">
        <v>2450</v>
      </c>
      <c r="B1" s="125" t="s">
        <v>2451</v>
      </c>
      <c r="C1" s="125" t="s">
        <v>2452</v>
      </c>
      <c r="D1" s="120" t="s">
        <v>2463</v>
      </c>
    </row>
    <row r="2" spans="1:4" x14ac:dyDescent="0.35">
      <c r="A2" s="122" t="s">
        <v>2453</v>
      </c>
      <c r="B2" s="128">
        <v>0.28073052421394751</v>
      </c>
      <c r="C2" s="128">
        <v>9.2503451902835997E-3</v>
      </c>
      <c r="D2" s="128">
        <f>(B2-C2)/B2</f>
        <v>0.96704902248807889</v>
      </c>
    </row>
    <row r="3" spans="1:4" x14ac:dyDescent="0.35">
      <c r="A3" s="127" t="s">
        <v>2454</v>
      </c>
      <c r="B3" s="128">
        <v>0.14478882429445691</v>
      </c>
      <c r="C3" s="128">
        <v>2.6874920215390508E-2</v>
      </c>
      <c r="D3" s="128">
        <f t="shared" ref="D3:D12" si="0">(B3-C3)/B3</f>
        <v>0.81438539648105024</v>
      </c>
    </row>
    <row r="4" spans="1:4" x14ac:dyDescent="0.35">
      <c r="A4" s="123" t="s">
        <v>2455</v>
      </c>
      <c r="B4" s="128">
        <v>0.1488543508953947</v>
      </c>
      <c r="C4" s="128">
        <v>6.0123053381739948E-2</v>
      </c>
      <c r="D4" s="128">
        <f t="shared" si="0"/>
        <v>0.5960947528904238</v>
      </c>
    </row>
    <row r="5" spans="1:4" x14ac:dyDescent="0.35">
      <c r="A5" s="123" t="s">
        <v>2456</v>
      </c>
      <c r="B5" s="128">
        <v>9.6886880704532372E-2</v>
      </c>
      <c r="C5" s="128">
        <v>6.6133424739454189E-2</v>
      </c>
      <c r="D5" s="128">
        <f t="shared" si="0"/>
        <v>0.31741610155521843</v>
      </c>
    </row>
    <row r="6" spans="1:4" x14ac:dyDescent="0.35">
      <c r="A6" s="123" t="s">
        <v>2457</v>
      </c>
      <c r="B6" s="128">
        <v>6.6859719330569056E-2</v>
      </c>
      <c r="C6" s="128">
        <v>6.4221877246597572E-2</v>
      </c>
      <c r="D6" s="128">
        <f t="shared" si="0"/>
        <v>3.9453382550552099E-2</v>
      </c>
    </row>
    <row r="7" spans="1:4" x14ac:dyDescent="0.35">
      <c r="A7" s="123" t="s">
        <v>2458</v>
      </c>
      <c r="B7" s="128">
        <v>4.826368415431756E-2</v>
      </c>
      <c r="C7" s="128">
        <v>5.9741417083967935E-2</v>
      </c>
      <c r="D7" s="128">
        <f t="shared" si="0"/>
        <v>-0.23781302921160449</v>
      </c>
    </row>
    <row r="8" spans="1:4" x14ac:dyDescent="0.35">
      <c r="A8" s="123" t="s">
        <v>2459</v>
      </c>
      <c r="B8" s="128">
        <v>3.6185456371139499E-2</v>
      </c>
      <c r="C8" s="128">
        <v>5.4821102185187084E-2</v>
      </c>
      <c r="D8" s="128">
        <f t="shared" si="0"/>
        <v>-0.51500375241669893</v>
      </c>
    </row>
    <row r="9" spans="1:4" x14ac:dyDescent="0.35">
      <c r="A9" s="123" t="s">
        <v>2460</v>
      </c>
      <c r="B9" s="128">
        <v>4.9605922492588876E-2</v>
      </c>
      <c r="C9" s="128">
        <v>9.4969389302665422E-2</v>
      </c>
      <c r="D9" s="128">
        <f t="shared" si="0"/>
        <v>-0.91447683120606915</v>
      </c>
    </row>
    <row r="10" spans="1:4" x14ac:dyDescent="0.35">
      <c r="A10" s="123" t="s">
        <v>2461</v>
      </c>
      <c r="B10" s="128">
        <v>5.3653520109816583E-2</v>
      </c>
      <c r="C10" s="128">
        <v>0.14463903020998803</v>
      </c>
      <c r="D10" s="128">
        <f t="shared" si="0"/>
        <v>-1.6957975900545714</v>
      </c>
    </row>
    <row r="11" spans="1:4" x14ac:dyDescent="0.35">
      <c r="A11" s="123" t="s">
        <v>2462</v>
      </c>
      <c r="B11" s="128">
        <v>4.1559798782912188E-2</v>
      </c>
      <c r="C11" s="128">
        <v>0.17521004080539013</v>
      </c>
      <c r="D11" s="128">
        <f t="shared" si="0"/>
        <v>-3.2158539246207765</v>
      </c>
    </row>
    <row r="12" spans="1:4" ht="15" thickBot="1" x14ac:dyDescent="0.4">
      <c r="A12" s="126" t="s">
        <v>42</v>
      </c>
      <c r="B12" s="128">
        <v>2.769027898275921E-2</v>
      </c>
      <c r="C12" s="128">
        <v>0.2443949737365243</v>
      </c>
      <c r="D12" s="128">
        <f t="shared" si="0"/>
        <v>-7.8260206366534577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0ACC-8112-4B1B-BBCB-DDEAD388A708}">
  <dimension ref="B3:B74"/>
  <sheetViews>
    <sheetView workbookViewId="0">
      <selection activeCell="B3" sqref="B3:B74"/>
    </sheetView>
  </sheetViews>
  <sheetFormatPr defaultRowHeight="14.5" x14ac:dyDescent="0.35"/>
  <sheetData>
    <row r="3" spans="2:2" x14ac:dyDescent="0.35">
      <c r="B3" s="64">
        <v>3129005</v>
      </c>
    </row>
    <row r="4" spans="2:2" x14ac:dyDescent="0.35">
      <c r="B4" s="64">
        <v>1200079</v>
      </c>
    </row>
    <row r="5" spans="2:2" x14ac:dyDescent="0.35">
      <c r="B5" s="64">
        <v>75196</v>
      </c>
    </row>
    <row r="6" spans="2:2" x14ac:dyDescent="0.35">
      <c r="B6" s="64">
        <v>47525</v>
      </c>
    </row>
    <row r="7" spans="2:2" x14ac:dyDescent="0.35">
      <c r="B7" s="64">
        <v>54195</v>
      </c>
    </row>
    <row r="8" spans="2:2" x14ac:dyDescent="0.35">
      <c r="B8" s="64">
        <v>42868</v>
      </c>
    </row>
    <row r="9" spans="2:2" x14ac:dyDescent="0.35">
      <c r="B9" s="64">
        <v>563250</v>
      </c>
    </row>
    <row r="10" spans="2:2" x14ac:dyDescent="0.35">
      <c r="B10" s="64">
        <v>23324</v>
      </c>
    </row>
    <row r="11" spans="2:2" x14ac:dyDescent="0.35">
      <c r="B11" s="64">
        <v>246699</v>
      </c>
    </row>
    <row r="12" spans="2:2" x14ac:dyDescent="0.35">
      <c r="B12" s="64">
        <v>128923</v>
      </c>
    </row>
    <row r="13" spans="2:2" x14ac:dyDescent="0.35">
      <c r="B13" s="64">
        <v>10379</v>
      </c>
    </row>
    <row r="14" spans="2:2" x14ac:dyDescent="0.35">
      <c r="B14" s="64">
        <v>179019</v>
      </c>
    </row>
    <row r="15" spans="2:2" x14ac:dyDescent="0.35">
      <c r="B15" s="64">
        <v>987536</v>
      </c>
    </row>
    <row r="16" spans="2:2" x14ac:dyDescent="0.35">
      <c r="B16" s="64">
        <v>501528</v>
      </c>
    </row>
    <row r="17" spans="2:2" x14ac:dyDescent="0.35">
      <c r="B17" s="64">
        <v>156317</v>
      </c>
    </row>
    <row r="18" spans="2:2" x14ac:dyDescent="0.35">
      <c r="B18" s="64">
        <v>114516</v>
      </c>
    </row>
    <row r="19" spans="2:2" x14ac:dyDescent="0.35">
      <c r="B19" s="64">
        <v>150082</v>
      </c>
    </row>
    <row r="20" spans="2:2" x14ac:dyDescent="0.35">
      <c r="B20" s="64">
        <v>152686</v>
      </c>
    </row>
    <row r="21" spans="2:2" x14ac:dyDescent="0.35">
      <c r="B21" s="64">
        <v>508270</v>
      </c>
    </row>
    <row r="22" spans="2:2" x14ac:dyDescent="0.35">
      <c r="B22" s="64">
        <v>110057</v>
      </c>
    </row>
    <row r="23" spans="2:2" x14ac:dyDescent="0.35">
      <c r="B23" s="64">
        <v>326943</v>
      </c>
    </row>
    <row r="24" spans="2:2" x14ac:dyDescent="0.35">
      <c r="B24" s="64">
        <v>221519</v>
      </c>
    </row>
    <row r="25" spans="2:2" x14ac:dyDescent="0.35">
      <c r="B25" s="64">
        <v>72205</v>
      </c>
    </row>
    <row r="26" spans="2:2" x14ac:dyDescent="0.35">
      <c r="B26" s="64">
        <v>15245</v>
      </c>
    </row>
    <row r="27" spans="2:2" x14ac:dyDescent="0.35">
      <c r="B27" s="64">
        <v>1476418</v>
      </c>
    </row>
    <row r="28" spans="2:2" x14ac:dyDescent="0.35">
      <c r="B28" s="64">
        <v>597301</v>
      </c>
    </row>
    <row r="29" spans="2:2" x14ac:dyDescent="0.35">
      <c r="B29" s="64">
        <v>107211</v>
      </c>
    </row>
    <row r="30" spans="2:2" x14ac:dyDescent="0.35">
      <c r="B30" s="64">
        <v>73707</v>
      </c>
    </row>
    <row r="31" spans="2:2" x14ac:dyDescent="0.35">
      <c r="B31" s="64">
        <v>89424</v>
      </c>
    </row>
    <row r="32" spans="2:2" x14ac:dyDescent="0.35">
      <c r="B32" s="64">
        <v>80275</v>
      </c>
    </row>
    <row r="33" spans="2:2" x14ac:dyDescent="0.35">
      <c r="B33" s="64">
        <v>484769</v>
      </c>
    </row>
    <row r="34" spans="2:2" x14ac:dyDescent="0.35">
      <c r="B34" s="64">
        <v>49883</v>
      </c>
    </row>
    <row r="35" spans="2:2" x14ac:dyDescent="0.35">
      <c r="B35" s="64">
        <v>268893</v>
      </c>
    </row>
    <row r="36" spans="2:2" x14ac:dyDescent="0.35">
      <c r="B36" s="64">
        <v>165908</v>
      </c>
    </row>
    <row r="37" spans="2:2" x14ac:dyDescent="0.35">
      <c r="B37" s="64">
        <v>26382</v>
      </c>
    </row>
    <row r="38" spans="2:2" x14ac:dyDescent="0.35">
      <c r="B38" s="64">
        <v>26899</v>
      </c>
    </row>
    <row r="39" spans="2:2" x14ac:dyDescent="0.35">
      <c r="B39" s="64">
        <v>862625</v>
      </c>
    </row>
    <row r="40" spans="2:2" x14ac:dyDescent="0.35">
      <c r="B40" s="64">
        <v>384579</v>
      </c>
    </row>
    <row r="41" spans="2:2" x14ac:dyDescent="0.35">
      <c r="B41" s="64">
        <v>78305</v>
      </c>
    </row>
    <row r="42" spans="2:2" x14ac:dyDescent="0.35">
      <c r="B42" s="64">
        <v>54108</v>
      </c>
    </row>
    <row r="43" spans="2:2" x14ac:dyDescent="0.35">
      <c r="B43" s="64">
        <v>66384</v>
      </c>
    </row>
    <row r="44" spans="2:2" x14ac:dyDescent="0.35">
      <c r="B44" s="64">
        <v>60224</v>
      </c>
    </row>
    <row r="45" spans="2:2" x14ac:dyDescent="0.35">
      <c r="B45" s="64">
        <v>343021</v>
      </c>
    </row>
    <row r="46" spans="2:2" x14ac:dyDescent="0.35">
      <c r="B46" s="64">
        <v>37630</v>
      </c>
    </row>
    <row r="47" spans="2:2" x14ac:dyDescent="0.35">
      <c r="B47" s="64">
        <v>196767</v>
      </c>
    </row>
    <row r="48" spans="2:2" x14ac:dyDescent="0.35">
      <c r="B48" s="64">
        <v>121647</v>
      </c>
    </row>
    <row r="49" spans="2:2" x14ac:dyDescent="0.35">
      <c r="B49" s="64">
        <v>21261</v>
      </c>
    </row>
    <row r="50" spans="2:2" x14ac:dyDescent="0.35">
      <c r="B50" s="64">
        <v>21330</v>
      </c>
    </row>
    <row r="51" spans="2:2" x14ac:dyDescent="0.35">
      <c r="B51" s="64">
        <v>419748</v>
      </c>
    </row>
    <row r="52" spans="2:2" x14ac:dyDescent="0.35">
      <c r="B52" s="64">
        <v>202499</v>
      </c>
    </row>
    <row r="53" spans="2:2" x14ac:dyDescent="0.35">
      <c r="B53" s="64">
        <v>52398</v>
      </c>
    </row>
    <row r="54" spans="2:2" x14ac:dyDescent="0.35">
      <c r="B54" s="64">
        <v>36318</v>
      </c>
    </row>
    <row r="55" spans="2:2" x14ac:dyDescent="0.35">
      <c r="B55" s="64">
        <v>45428</v>
      </c>
    </row>
    <row r="56" spans="2:2" x14ac:dyDescent="0.35">
      <c r="B56" s="64">
        <v>42146</v>
      </c>
    </row>
    <row r="57" spans="2:2" x14ac:dyDescent="0.35">
      <c r="B57" s="64">
        <v>201811</v>
      </c>
    </row>
    <row r="58" spans="2:2" x14ac:dyDescent="0.35">
      <c r="B58" s="64">
        <v>27911</v>
      </c>
    </row>
    <row r="59" spans="2:2" x14ac:dyDescent="0.35">
      <c r="B59" s="64">
        <v>124771</v>
      </c>
    </row>
    <row r="60" spans="2:2" x14ac:dyDescent="0.35">
      <c r="B60" s="64">
        <v>79059</v>
      </c>
    </row>
    <row r="61" spans="2:2" x14ac:dyDescent="0.35">
      <c r="B61" s="64">
        <v>16931</v>
      </c>
    </row>
    <row r="62" spans="2:2" x14ac:dyDescent="0.35">
      <c r="B62" s="64">
        <v>13572</v>
      </c>
    </row>
    <row r="63" spans="2:2" x14ac:dyDescent="0.35">
      <c r="B63" s="64">
        <v>1449104</v>
      </c>
    </row>
    <row r="64" spans="2:2" x14ac:dyDescent="0.35">
      <c r="B64" s="64">
        <v>973653</v>
      </c>
    </row>
    <row r="65" spans="2:2" x14ac:dyDescent="0.35">
      <c r="B65" s="64">
        <v>571794</v>
      </c>
    </row>
    <row r="66" spans="2:2" x14ac:dyDescent="0.35">
      <c r="B66" s="64">
        <v>456827</v>
      </c>
    </row>
    <row r="67" spans="2:2" x14ac:dyDescent="0.35">
      <c r="B67" s="64">
        <v>673771</v>
      </c>
    </row>
    <row r="68" spans="2:2" x14ac:dyDescent="0.35">
      <c r="B68" s="64">
        <v>798269</v>
      </c>
    </row>
    <row r="69" spans="2:2" x14ac:dyDescent="0.35">
      <c r="B69" s="64">
        <v>1227622</v>
      </c>
    </row>
    <row r="70" spans="2:2" x14ac:dyDescent="0.35">
      <c r="B70" s="64">
        <v>682945</v>
      </c>
    </row>
    <row r="71" spans="2:2" x14ac:dyDescent="0.35">
      <c r="B71" s="64">
        <v>936168</v>
      </c>
    </row>
    <row r="72" spans="2:2" x14ac:dyDescent="0.35">
      <c r="B72" s="64">
        <v>724431</v>
      </c>
    </row>
    <row r="73" spans="2:2" x14ac:dyDescent="0.35">
      <c r="B73" s="64">
        <v>513927</v>
      </c>
    </row>
    <row r="74" spans="2:2" x14ac:dyDescent="0.35">
      <c r="B74" s="64">
        <v>15403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D5AD-9CF4-40DC-81B0-AE7D53DF4456}">
  <dimension ref="A1:X73"/>
  <sheetViews>
    <sheetView workbookViewId="0">
      <selection activeCell="E8" sqref="E8"/>
    </sheetView>
  </sheetViews>
  <sheetFormatPr defaultRowHeight="14.5" x14ac:dyDescent="0.35"/>
  <cols>
    <col min="1" max="2" width="8.7265625" style="67"/>
    <col min="3" max="5" width="20.54296875" style="67" customWidth="1"/>
    <col min="6" max="16384" width="8.7265625" style="67"/>
  </cols>
  <sheetData>
    <row r="1" spans="1:24" ht="15" thickBot="1" x14ac:dyDescent="0.4">
      <c r="A1" s="67" t="s">
        <v>9</v>
      </c>
      <c r="B1" s="67" t="s">
        <v>10</v>
      </c>
      <c r="C1" s="67" t="s">
        <v>11</v>
      </c>
      <c r="D1" s="67" t="s">
        <v>2437</v>
      </c>
      <c r="E1" s="67" t="s">
        <v>2436</v>
      </c>
      <c r="F1" s="67" t="s">
        <v>12</v>
      </c>
      <c r="G1" s="67" t="s">
        <v>13</v>
      </c>
      <c r="H1" s="67" t="s">
        <v>14</v>
      </c>
      <c r="I1" s="67" t="s">
        <v>15</v>
      </c>
      <c r="J1" s="67" t="s">
        <v>16</v>
      </c>
      <c r="K1" s="67" t="s">
        <v>17</v>
      </c>
      <c r="L1" s="67" t="s">
        <v>18</v>
      </c>
      <c r="M1" s="67" t="s">
        <v>19</v>
      </c>
      <c r="N1" s="67" t="s">
        <v>20</v>
      </c>
      <c r="O1" s="67" t="s">
        <v>21</v>
      </c>
      <c r="P1" s="67" t="s">
        <v>22</v>
      </c>
      <c r="Q1" s="67" t="s">
        <v>23</v>
      </c>
      <c r="R1" s="67" t="s">
        <v>24</v>
      </c>
      <c r="S1" s="67" t="s">
        <v>25</v>
      </c>
      <c r="T1" s="67" t="s">
        <v>26</v>
      </c>
      <c r="U1" s="67" t="s">
        <v>27</v>
      </c>
      <c r="V1" s="67" t="s">
        <v>28</v>
      </c>
      <c r="W1" s="67" t="s">
        <v>29</v>
      </c>
      <c r="X1" s="67" t="s">
        <v>30</v>
      </c>
    </row>
    <row r="2" spans="1:24" x14ac:dyDescent="0.35">
      <c r="A2" s="1">
        <v>44228</v>
      </c>
      <c r="B2" s="67">
        <v>24998823</v>
      </c>
      <c r="C2" s="52">
        <v>3305509</v>
      </c>
      <c r="D2" s="65">
        <v>3129005</v>
      </c>
      <c r="E2" s="66">
        <f>D2-C2</f>
        <v>-176504</v>
      </c>
      <c r="F2" s="67" t="s">
        <v>31</v>
      </c>
      <c r="G2" s="67" t="s">
        <v>32</v>
      </c>
      <c r="H2" s="67" t="s">
        <v>192</v>
      </c>
      <c r="I2" s="67" t="s">
        <v>193</v>
      </c>
      <c r="J2" s="67" t="s">
        <v>194</v>
      </c>
      <c r="K2" s="67" t="s">
        <v>195</v>
      </c>
      <c r="L2" s="67" t="s">
        <v>196</v>
      </c>
      <c r="M2" s="67" t="s">
        <v>197</v>
      </c>
      <c r="N2" s="67" t="s">
        <v>198</v>
      </c>
      <c r="O2" s="67" t="s">
        <v>199</v>
      </c>
      <c r="P2" s="67" t="s">
        <v>200</v>
      </c>
      <c r="Q2" s="67">
        <v>8381050</v>
      </c>
      <c r="R2" s="67">
        <v>16598795</v>
      </c>
      <c r="S2" s="67" t="s">
        <v>201</v>
      </c>
      <c r="T2" s="67">
        <v>2374613</v>
      </c>
      <c r="U2" s="67">
        <v>2164288</v>
      </c>
      <c r="V2" s="67">
        <v>2003728</v>
      </c>
      <c r="W2" s="67">
        <v>1419706</v>
      </c>
      <c r="X2" s="67">
        <v>770951</v>
      </c>
    </row>
    <row r="3" spans="1:24" x14ac:dyDescent="0.35">
      <c r="A3" s="1">
        <v>44228</v>
      </c>
      <c r="B3" s="67">
        <v>24998823</v>
      </c>
      <c r="C3" s="56">
        <v>1183742</v>
      </c>
      <c r="D3" s="69">
        <v>1200079</v>
      </c>
      <c r="E3" s="70">
        <f t="shared" ref="E3:E66" si="0">D3-C3</f>
        <v>16337</v>
      </c>
      <c r="F3" s="67" t="s">
        <v>31</v>
      </c>
      <c r="G3" s="67" t="s">
        <v>33</v>
      </c>
      <c r="H3" s="67" t="s">
        <v>202</v>
      </c>
      <c r="I3" s="67" t="s">
        <v>203</v>
      </c>
      <c r="J3" s="67" t="s">
        <v>204</v>
      </c>
      <c r="K3" s="67" t="s">
        <v>205</v>
      </c>
      <c r="L3" s="67" t="s">
        <v>206</v>
      </c>
      <c r="M3" s="67" t="s">
        <v>207</v>
      </c>
      <c r="N3" s="67" t="s">
        <v>208</v>
      </c>
      <c r="O3" s="67" t="s">
        <v>209</v>
      </c>
      <c r="P3" s="67" t="s">
        <v>210</v>
      </c>
      <c r="Q3" s="67">
        <v>16673168</v>
      </c>
      <c r="R3" s="67">
        <v>20410798</v>
      </c>
      <c r="S3" s="67" t="s">
        <v>211</v>
      </c>
      <c r="T3" s="67">
        <v>640519</v>
      </c>
      <c r="U3" s="67">
        <v>584395</v>
      </c>
      <c r="V3" s="67">
        <v>549121</v>
      </c>
      <c r="W3" s="67">
        <v>404751</v>
      </c>
      <c r="X3" s="67">
        <v>223102</v>
      </c>
    </row>
    <row r="4" spans="1:24" x14ac:dyDescent="0.35">
      <c r="A4" s="1">
        <v>44228</v>
      </c>
      <c r="B4" s="67">
        <v>24998823</v>
      </c>
      <c r="C4" s="56">
        <v>64610</v>
      </c>
      <c r="D4" s="69">
        <v>75196</v>
      </c>
      <c r="E4" s="70">
        <f t="shared" si="0"/>
        <v>10586</v>
      </c>
      <c r="F4" s="67" t="s">
        <v>31</v>
      </c>
      <c r="G4" s="67" t="s">
        <v>34</v>
      </c>
      <c r="H4" s="67" t="s">
        <v>212</v>
      </c>
      <c r="I4" s="67" t="s">
        <v>213</v>
      </c>
      <c r="J4" s="67" t="s">
        <v>214</v>
      </c>
      <c r="K4" s="67" t="s">
        <v>215</v>
      </c>
      <c r="L4" s="67" t="s">
        <v>216</v>
      </c>
      <c r="M4" s="67" t="s">
        <v>217</v>
      </c>
      <c r="N4" s="67" t="s">
        <v>218</v>
      </c>
      <c r="O4" s="67" t="s">
        <v>219</v>
      </c>
      <c r="P4" s="67" t="s">
        <v>220</v>
      </c>
      <c r="Q4" s="67">
        <v>7071441</v>
      </c>
      <c r="R4" s="67">
        <v>6097574</v>
      </c>
      <c r="S4" s="67" t="s">
        <v>221</v>
      </c>
      <c r="T4" s="67">
        <v>10753</v>
      </c>
      <c r="U4" s="67">
        <v>9404</v>
      </c>
      <c r="V4" s="67">
        <v>8563</v>
      </c>
      <c r="W4" s="67">
        <v>7329</v>
      </c>
      <c r="X4" s="67">
        <v>4424</v>
      </c>
    </row>
    <row r="5" spans="1:24" x14ac:dyDescent="0.35">
      <c r="A5" s="1">
        <v>44228</v>
      </c>
      <c r="B5" s="67">
        <v>24998823</v>
      </c>
      <c r="C5" s="56">
        <v>40777</v>
      </c>
      <c r="D5" s="69">
        <v>47525</v>
      </c>
      <c r="E5" s="70">
        <f t="shared" si="0"/>
        <v>6748</v>
      </c>
      <c r="F5" s="67" t="s">
        <v>31</v>
      </c>
      <c r="G5" s="67" t="s">
        <v>35</v>
      </c>
      <c r="H5" s="67" t="s">
        <v>222</v>
      </c>
      <c r="I5" s="67" t="s">
        <v>223</v>
      </c>
      <c r="J5" s="67" t="s">
        <v>224</v>
      </c>
      <c r="K5" s="67" t="s">
        <v>225</v>
      </c>
      <c r="L5" s="67" t="s">
        <v>226</v>
      </c>
      <c r="M5" s="67" t="s">
        <v>227</v>
      </c>
      <c r="N5" s="67" t="s">
        <v>228</v>
      </c>
      <c r="O5" s="67" t="s">
        <v>229</v>
      </c>
      <c r="P5" s="67" t="s">
        <v>230</v>
      </c>
      <c r="Q5" s="67">
        <v>5254319</v>
      </c>
      <c r="R5" s="67">
        <v>4330380</v>
      </c>
      <c r="S5" s="67" t="s">
        <v>231</v>
      </c>
      <c r="T5" s="67">
        <v>6313</v>
      </c>
      <c r="U5" s="67">
        <v>5561</v>
      </c>
      <c r="V5" s="67">
        <v>5070</v>
      </c>
      <c r="W5" s="67">
        <v>4328</v>
      </c>
      <c r="X5" s="67">
        <v>2598</v>
      </c>
    </row>
    <row r="6" spans="1:24" x14ac:dyDescent="0.35">
      <c r="A6" s="1">
        <v>44228</v>
      </c>
      <c r="B6" s="67">
        <v>24998823</v>
      </c>
      <c r="C6" s="56">
        <v>45011</v>
      </c>
      <c r="D6" s="69">
        <v>54195</v>
      </c>
      <c r="E6" s="70">
        <f t="shared" si="0"/>
        <v>9184</v>
      </c>
      <c r="F6" s="67" t="s">
        <v>31</v>
      </c>
      <c r="G6" s="67" t="s">
        <v>36</v>
      </c>
      <c r="H6" s="67" t="s">
        <v>232</v>
      </c>
      <c r="I6" s="67" t="s">
        <v>233</v>
      </c>
      <c r="J6" s="67" t="s">
        <v>234</v>
      </c>
      <c r="K6" s="67" t="s">
        <v>235</v>
      </c>
      <c r="L6" s="67" t="s">
        <v>236</v>
      </c>
      <c r="M6" s="67" t="s">
        <v>237</v>
      </c>
      <c r="N6" s="67" t="s">
        <v>238</v>
      </c>
      <c r="O6" s="67" t="s">
        <v>239</v>
      </c>
      <c r="P6" s="67" t="s">
        <v>240</v>
      </c>
      <c r="Q6" s="67">
        <v>6849945</v>
      </c>
      <c r="R6" s="67">
        <v>5403248</v>
      </c>
      <c r="S6" s="67" t="s">
        <v>241</v>
      </c>
      <c r="T6" s="67">
        <v>6282</v>
      </c>
      <c r="U6" s="67">
        <v>5566</v>
      </c>
      <c r="V6" s="67">
        <v>5046</v>
      </c>
      <c r="W6" s="67">
        <v>4331</v>
      </c>
      <c r="X6" s="67">
        <v>2619</v>
      </c>
    </row>
    <row r="7" spans="1:24" x14ac:dyDescent="0.35">
      <c r="A7" s="1">
        <v>44228</v>
      </c>
      <c r="B7" s="67">
        <v>24998823</v>
      </c>
      <c r="C7" s="56">
        <v>35053</v>
      </c>
      <c r="D7" s="69">
        <v>42868</v>
      </c>
      <c r="E7" s="70">
        <f t="shared" si="0"/>
        <v>7815</v>
      </c>
      <c r="F7" s="67" t="s">
        <v>31</v>
      </c>
      <c r="G7" s="67" t="s">
        <v>37</v>
      </c>
      <c r="H7" s="67" t="s">
        <v>242</v>
      </c>
      <c r="I7" s="67" t="s">
        <v>243</v>
      </c>
      <c r="J7" s="67" t="s">
        <v>244</v>
      </c>
      <c r="K7" s="67" t="s">
        <v>245</v>
      </c>
      <c r="L7" s="67" t="s">
        <v>246</v>
      </c>
      <c r="M7" s="67" t="s">
        <v>247</v>
      </c>
      <c r="N7" s="67" t="s">
        <v>248</v>
      </c>
      <c r="O7" s="67" t="s">
        <v>249</v>
      </c>
      <c r="P7" s="67" t="s">
        <v>250</v>
      </c>
      <c r="Q7" s="67">
        <v>6884552</v>
      </c>
      <c r="R7" s="67">
        <v>5222454</v>
      </c>
      <c r="S7" s="67" t="s">
        <v>251</v>
      </c>
      <c r="T7" s="67">
        <v>4227</v>
      </c>
      <c r="U7" s="67">
        <v>3797</v>
      </c>
      <c r="V7" s="67">
        <v>3448</v>
      </c>
      <c r="W7" s="67">
        <v>3029</v>
      </c>
      <c r="X7" s="67">
        <v>1809</v>
      </c>
    </row>
    <row r="8" spans="1:24" x14ac:dyDescent="0.35">
      <c r="A8" s="1">
        <v>44228</v>
      </c>
      <c r="B8" s="67">
        <v>24998823</v>
      </c>
      <c r="C8" s="56">
        <v>543336</v>
      </c>
      <c r="D8" s="69">
        <v>563250</v>
      </c>
      <c r="E8" s="70">
        <f t="shared" si="0"/>
        <v>19914</v>
      </c>
      <c r="F8" s="67" t="s">
        <v>31</v>
      </c>
      <c r="G8" s="67" t="s">
        <v>38</v>
      </c>
      <c r="H8" s="67" t="s">
        <v>252</v>
      </c>
      <c r="I8" s="67" t="s">
        <v>253</v>
      </c>
      <c r="J8" s="67" t="s">
        <v>254</v>
      </c>
      <c r="K8" s="67" t="s">
        <v>255</v>
      </c>
      <c r="L8" s="67" t="s">
        <v>256</v>
      </c>
      <c r="M8" s="67" t="s">
        <v>257</v>
      </c>
      <c r="N8" s="67" t="s">
        <v>258</v>
      </c>
      <c r="O8" s="67" t="s">
        <v>259</v>
      </c>
      <c r="P8" s="67" t="s">
        <v>260</v>
      </c>
      <c r="Q8" s="67">
        <v>20683127</v>
      </c>
      <c r="R8" s="67">
        <v>23311441</v>
      </c>
      <c r="S8" s="67" t="s">
        <v>261</v>
      </c>
      <c r="T8" s="67">
        <v>156754</v>
      </c>
      <c r="U8" s="67">
        <v>132691</v>
      </c>
      <c r="V8" s="67">
        <v>118857</v>
      </c>
      <c r="W8" s="67">
        <v>96080</v>
      </c>
      <c r="X8" s="67">
        <v>55805</v>
      </c>
    </row>
    <row r="9" spans="1:24" x14ac:dyDescent="0.35">
      <c r="A9" s="1">
        <v>44228</v>
      </c>
      <c r="B9" s="67">
        <v>24998823</v>
      </c>
      <c r="C9" s="56">
        <v>18661</v>
      </c>
      <c r="D9" s="69">
        <v>23324</v>
      </c>
      <c r="E9" s="70">
        <f t="shared" si="0"/>
        <v>4663</v>
      </c>
      <c r="F9" s="67" t="s">
        <v>31</v>
      </c>
      <c r="G9" s="67" t="s">
        <v>39</v>
      </c>
      <c r="H9" s="67" t="s">
        <v>262</v>
      </c>
      <c r="I9" s="67" t="s">
        <v>263</v>
      </c>
      <c r="J9" s="67" t="s">
        <v>264</v>
      </c>
      <c r="K9" s="67" t="s">
        <v>265</v>
      </c>
      <c r="L9" s="67" t="s">
        <v>266</v>
      </c>
      <c r="M9" s="67" t="s">
        <v>267</v>
      </c>
      <c r="N9" s="67" t="s">
        <v>268</v>
      </c>
      <c r="O9" s="67" t="s">
        <v>269</v>
      </c>
      <c r="P9" s="67" t="s">
        <v>270</v>
      </c>
      <c r="Q9" s="67">
        <v>4939253</v>
      </c>
      <c r="R9" s="67">
        <v>3814994</v>
      </c>
      <c r="S9" s="67" t="s">
        <v>271</v>
      </c>
      <c r="T9" s="67">
        <v>1794</v>
      </c>
      <c r="U9" s="67">
        <v>1632</v>
      </c>
      <c r="V9" s="67">
        <v>1500</v>
      </c>
      <c r="W9" s="67">
        <v>1322</v>
      </c>
      <c r="X9" s="67">
        <v>852</v>
      </c>
    </row>
    <row r="10" spans="1:24" x14ac:dyDescent="0.35">
      <c r="A10" s="1">
        <v>44228</v>
      </c>
      <c r="B10" s="67">
        <v>24998823</v>
      </c>
      <c r="C10" s="56">
        <v>226778</v>
      </c>
      <c r="D10" s="69">
        <v>246699</v>
      </c>
      <c r="E10" s="70">
        <f t="shared" si="0"/>
        <v>19921</v>
      </c>
      <c r="F10" s="67" t="s">
        <v>31</v>
      </c>
      <c r="G10" s="67" t="s">
        <v>40</v>
      </c>
      <c r="H10" s="67" t="s">
        <v>272</v>
      </c>
      <c r="I10" s="67" t="s">
        <v>273</v>
      </c>
      <c r="J10" s="67" t="s">
        <v>274</v>
      </c>
      <c r="K10" s="67" t="s">
        <v>275</v>
      </c>
      <c r="L10" s="67" t="s">
        <v>276</v>
      </c>
      <c r="M10" s="67" t="s">
        <v>277</v>
      </c>
      <c r="N10" s="67" t="s">
        <v>278</v>
      </c>
      <c r="O10" s="67" t="s">
        <v>279</v>
      </c>
      <c r="P10" s="67" t="s">
        <v>280</v>
      </c>
      <c r="Q10" s="67">
        <v>14357180</v>
      </c>
      <c r="R10" s="67">
        <v>14373727</v>
      </c>
      <c r="S10" s="67" t="s">
        <v>281</v>
      </c>
      <c r="T10" s="67">
        <v>50487</v>
      </c>
      <c r="U10" s="67">
        <v>43431</v>
      </c>
      <c r="V10" s="67">
        <v>39153</v>
      </c>
      <c r="W10" s="67">
        <v>32589</v>
      </c>
      <c r="X10" s="67">
        <v>19232</v>
      </c>
    </row>
    <row r="11" spans="1:24" x14ac:dyDescent="0.35">
      <c r="A11" s="1">
        <v>44228</v>
      </c>
      <c r="B11" s="67">
        <v>24998823</v>
      </c>
      <c r="C11" s="56">
        <v>114773</v>
      </c>
      <c r="D11" s="69">
        <v>128923</v>
      </c>
      <c r="E11" s="70">
        <f t="shared" si="0"/>
        <v>14150</v>
      </c>
      <c r="F11" s="67" t="s">
        <v>31</v>
      </c>
      <c r="G11" s="67" t="s">
        <v>41</v>
      </c>
      <c r="H11" s="67" t="s">
        <v>282</v>
      </c>
      <c r="I11" s="67" t="s">
        <v>283</v>
      </c>
      <c r="J11" s="67" t="s">
        <v>284</v>
      </c>
      <c r="K11" s="67" t="s">
        <v>285</v>
      </c>
      <c r="L11" s="67" t="s">
        <v>286</v>
      </c>
      <c r="M11" s="67" t="s">
        <v>287</v>
      </c>
      <c r="N11" s="67" t="s">
        <v>288</v>
      </c>
      <c r="O11" s="67" t="s">
        <v>289</v>
      </c>
      <c r="P11" s="67" t="s">
        <v>290</v>
      </c>
      <c r="Q11" s="67">
        <v>9879655</v>
      </c>
      <c r="R11" s="67">
        <v>9017273</v>
      </c>
      <c r="S11" s="67" t="s">
        <v>291</v>
      </c>
      <c r="T11" s="67">
        <v>21683</v>
      </c>
      <c r="U11" s="67">
        <v>18773</v>
      </c>
      <c r="V11" s="67">
        <v>16936</v>
      </c>
      <c r="W11" s="67">
        <v>14160</v>
      </c>
      <c r="X11" s="67">
        <v>8462</v>
      </c>
    </row>
    <row r="12" spans="1:24" x14ac:dyDescent="0.35">
      <c r="A12" s="1">
        <v>44228</v>
      </c>
      <c r="B12" s="67">
        <v>24998823</v>
      </c>
      <c r="C12" s="56">
        <v>7987</v>
      </c>
      <c r="D12" s="69">
        <v>10379</v>
      </c>
      <c r="E12" s="70">
        <f t="shared" si="0"/>
        <v>2392</v>
      </c>
      <c r="F12" s="67" t="s">
        <v>31</v>
      </c>
      <c r="G12" s="67" t="s">
        <v>42</v>
      </c>
      <c r="H12" s="67" t="s">
        <v>292</v>
      </c>
      <c r="I12" s="67" t="s">
        <v>293</v>
      </c>
      <c r="J12" s="67" t="s">
        <v>294</v>
      </c>
      <c r="K12" s="67" t="s">
        <v>295</v>
      </c>
      <c r="L12" s="67" t="s">
        <v>296</v>
      </c>
      <c r="M12" s="67" t="s">
        <v>297</v>
      </c>
      <c r="N12" s="67" t="s">
        <v>298</v>
      </c>
      <c r="O12" s="67" t="s">
        <v>299</v>
      </c>
      <c r="P12" s="67" t="s">
        <v>300</v>
      </c>
      <c r="Q12" s="67">
        <v>3099015</v>
      </c>
      <c r="R12" s="67">
        <v>2351614</v>
      </c>
      <c r="S12" s="67" t="s">
        <v>301</v>
      </c>
      <c r="T12" s="67">
        <v>669</v>
      </c>
      <c r="U12" s="67">
        <v>609</v>
      </c>
      <c r="V12" s="67">
        <v>539</v>
      </c>
      <c r="W12" s="67">
        <v>451</v>
      </c>
      <c r="X12" s="67">
        <v>274</v>
      </c>
    </row>
    <row r="13" spans="1:24" ht="15" thickBot="1" x14ac:dyDescent="0.4">
      <c r="A13" s="1">
        <v>44228</v>
      </c>
      <c r="B13" s="67">
        <v>24998823</v>
      </c>
      <c r="C13" s="60">
        <v>114225</v>
      </c>
      <c r="D13" s="71">
        <v>179019</v>
      </c>
      <c r="E13" s="72">
        <f t="shared" si="0"/>
        <v>64794</v>
      </c>
      <c r="F13" s="67" t="s">
        <v>31</v>
      </c>
      <c r="G13" s="67" t="s">
        <v>43</v>
      </c>
      <c r="H13" s="67" t="s">
        <v>302</v>
      </c>
      <c r="I13" s="67" t="s">
        <v>303</v>
      </c>
      <c r="J13" s="67" t="s">
        <v>304</v>
      </c>
      <c r="K13" s="67" t="s">
        <v>305</v>
      </c>
      <c r="L13" s="67" t="s">
        <v>306</v>
      </c>
      <c r="M13" s="67" t="s">
        <v>307</v>
      </c>
      <c r="N13" s="67" t="s">
        <v>308</v>
      </c>
      <c r="O13" s="67" t="s">
        <v>309</v>
      </c>
      <c r="P13" s="67" t="s">
        <v>310</v>
      </c>
      <c r="Q13" s="67">
        <v>215141</v>
      </c>
      <c r="R13" s="67">
        <v>149968</v>
      </c>
      <c r="S13" s="67" t="s">
        <v>311</v>
      </c>
      <c r="T13" s="67">
        <v>43905</v>
      </c>
      <c r="U13" s="67">
        <v>40752</v>
      </c>
      <c r="V13" s="67">
        <v>38103</v>
      </c>
      <c r="W13" s="67">
        <v>28696</v>
      </c>
      <c r="X13" s="67">
        <v>19674</v>
      </c>
    </row>
    <row r="14" spans="1:24" x14ac:dyDescent="0.35">
      <c r="A14" s="1">
        <v>44228</v>
      </c>
      <c r="B14" s="67">
        <v>24998823</v>
      </c>
      <c r="C14" s="52">
        <v>1031232</v>
      </c>
      <c r="D14" s="65">
        <v>987536</v>
      </c>
      <c r="E14" s="66">
        <f t="shared" si="0"/>
        <v>-43696</v>
      </c>
      <c r="F14" s="67" t="s">
        <v>44</v>
      </c>
      <c r="G14" s="67" t="s">
        <v>32</v>
      </c>
      <c r="H14" s="67" t="s">
        <v>312</v>
      </c>
      <c r="I14" s="67" t="s">
        <v>313</v>
      </c>
      <c r="J14" s="67" t="s">
        <v>314</v>
      </c>
      <c r="K14" s="67" t="s">
        <v>315</v>
      </c>
      <c r="L14" s="67" t="s">
        <v>316</v>
      </c>
      <c r="M14" s="67" t="s">
        <v>317</v>
      </c>
      <c r="N14" s="67" t="s">
        <v>318</v>
      </c>
      <c r="O14" s="67" t="s">
        <v>319</v>
      </c>
      <c r="P14" s="67" t="s">
        <v>320</v>
      </c>
      <c r="Q14" s="67">
        <v>1677106</v>
      </c>
      <c r="R14" s="67">
        <v>14229956</v>
      </c>
      <c r="S14" s="67" t="s">
        <v>321</v>
      </c>
      <c r="T14" s="67">
        <v>690064</v>
      </c>
      <c r="U14" s="67">
        <v>576172</v>
      </c>
      <c r="V14" s="67">
        <v>476119</v>
      </c>
      <c r="W14" s="67">
        <v>264814</v>
      </c>
      <c r="X14" s="67">
        <v>137098</v>
      </c>
    </row>
    <row r="15" spans="1:24" x14ac:dyDescent="0.35">
      <c r="A15" s="1">
        <v>44228</v>
      </c>
      <c r="B15" s="67">
        <v>24998823</v>
      </c>
      <c r="C15" s="56">
        <v>525589</v>
      </c>
      <c r="D15" s="69">
        <v>501528</v>
      </c>
      <c r="E15" s="70">
        <f t="shared" si="0"/>
        <v>-24061</v>
      </c>
      <c r="F15" s="67" t="s">
        <v>44</v>
      </c>
      <c r="G15" s="67" t="s">
        <v>33</v>
      </c>
      <c r="H15" s="67" t="s">
        <v>322</v>
      </c>
      <c r="I15" s="67" t="s">
        <v>323</v>
      </c>
      <c r="J15" s="67" t="s">
        <v>324</v>
      </c>
      <c r="K15" s="67" t="s">
        <v>325</v>
      </c>
      <c r="L15" s="67" t="s">
        <v>326</v>
      </c>
      <c r="M15" s="67" t="s">
        <v>327</v>
      </c>
      <c r="N15" s="67" t="s">
        <v>328</v>
      </c>
      <c r="O15" s="67" t="s">
        <v>329</v>
      </c>
      <c r="P15" s="67" t="s">
        <v>330</v>
      </c>
      <c r="Q15" s="67">
        <v>5788184</v>
      </c>
      <c r="R15" s="67">
        <v>18751927</v>
      </c>
      <c r="S15" s="67" t="s">
        <v>331</v>
      </c>
      <c r="T15" s="67">
        <v>204713</v>
      </c>
      <c r="U15" s="67">
        <v>156278</v>
      </c>
      <c r="V15" s="67">
        <v>127014</v>
      </c>
      <c r="W15" s="67">
        <v>81335</v>
      </c>
      <c r="X15" s="67">
        <v>39827</v>
      </c>
    </row>
    <row r="16" spans="1:24" x14ac:dyDescent="0.35">
      <c r="A16" s="1">
        <v>44228</v>
      </c>
      <c r="B16" s="67">
        <v>24998823</v>
      </c>
      <c r="C16" s="56">
        <v>147765</v>
      </c>
      <c r="D16" s="69">
        <v>156317</v>
      </c>
      <c r="E16" s="70">
        <f t="shared" si="0"/>
        <v>8552</v>
      </c>
      <c r="F16" s="67" t="s">
        <v>44</v>
      </c>
      <c r="G16" s="67" t="s">
        <v>34</v>
      </c>
      <c r="H16" s="67" t="s">
        <v>332</v>
      </c>
      <c r="I16" s="67" t="s">
        <v>333</v>
      </c>
      <c r="J16" s="67" t="s">
        <v>334</v>
      </c>
      <c r="K16" s="67" t="s">
        <v>335</v>
      </c>
      <c r="L16" s="67" t="s">
        <v>336</v>
      </c>
      <c r="M16" s="67" t="s">
        <v>337</v>
      </c>
      <c r="N16" s="67" t="s">
        <v>338</v>
      </c>
      <c r="O16" s="67" t="s">
        <v>339</v>
      </c>
      <c r="P16" s="67" t="s">
        <v>340</v>
      </c>
      <c r="Q16" s="67">
        <v>8599250</v>
      </c>
      <c r="R16" s="67">
        <v>17521192</v>
      </c>
      <c r="S16" s="67" t="s">
        <v>341</v>
      </c>
      <c r="T16" s="67">
        <v>12681</v>
      </c>
      <c r="U16" s="67">
        <v>9620</v>
      </c>
      <c r="V16" s="67">
        <v>7900</v>
      </c>
      <c r="W16" s="67">
        <v>6127</v>
      </c>
      <c r="X16" s="67">
        <v>3305</v>
      </c>
    </row>
    <row r="17" spans="1:24" x14ac:dyDescent="0.35">
      <c r="A17" s="1">
        <v>44228</v>
      </c>
      <c r="B17" s="67">
        <v>24998823</v>
      </c>
      <c r="C17" s="56">
        <v>105900</v>
      </c>
      <c r="D17" s="69">
        <v>114516</v>
      </c>
      <c r="E17" s="70">
        <f t="shared" si="0"/>
        <v>8616</v>
      </c>
      <c r="F17" s="67" t="s">
        <v>44</v>
      </c>
      <c r="G17" s="67" t="s">
        <v>35</v>
      </c>
      <c r="H17" s="67" t="s">
        <v>342</v>
      </c>
      <c r="I17" s="67" t="s">
        <v>343</v>
      </c>
      <c r="J17" s="67" t="s">
        <v>344</v>
      </c>
      <c r="K17" s="67" t="s">
        <v>345</v>
      </c>
      <c r="L17" s="67" t="s">
        <v>346</v>
      </c>
      <c r="M17" s="67" t="s">
        <v>347</v>
      </c>
      <c r="N17" s="67" t="s">
        <v>348</v>
      </c>
      <c r="O17" s="67" t="s">
        <v>349</v>
      </c>
      <c r="P17" s="67" t="s">
        <v>350</v>
      </c>
      <c r="Q17" s="67">
        <v>7648161</v>
      </c>
      <c r="R17" s="67">
        <v>14070521</v>
      </c>
      <c r="S17" s="67" t="s">
        <v>351</v>
      </c>
      <c r="T17" s="67">
        <v>7578</v>
      </c>
      <c r="U17" s="67">
        <v>5905</v>
      </c>
      <c r="V17" s="67">
        <v>4853</v>
      </c>
      <c r="W17" s="67">
        <v>3850</v>
      </c>
      <c r="X17" s="67">
        <v>2120</v>
      </c>
    </row>
    <row r="18" spans="1:24" x14ac:dyDescent="0.35">
      <c r="A18" s="1">
        <v>44228</v>
      </c>
      <c r="B18" s="67">
        <v>24998823</v>
      </c>
      <c r="C18" s="56">
        <v>136800</v>
      </c>
      <c r="D18" s="69">
        <v>150082</v>
      </c>
      <c r="E18" s="70">
        <f t="shared" si="0"/>
        <v>13282</v>
      </c>
      <c r="F18" s="67" t="s">
        <v>44</v>
      </c>
      <c r="G18" s="67" t="s">
        <v>36</v>
      </c>
      <c r="H18" s="67" t="s">
        <v>352</v>
      </c>
      <c r="I18" s="67" t="s">
        <v>353</v>
      </c>
      <c r="J18" s="67" t="s">
        <v>354</v>
      </c>
      <c r="K18" s="67" t="s">
        <v>355</v>
      </c>
      <c r="L18" s="67" t="s">
        <v>356</v>
      </c>
      <c r="M18" s="67" t="s">
        <v>357</v>
      </c>
      <c r="N18" s="67" t="s">
        <v>358</v>
      </c>
      <c r="O18" s="67" t="s">
        <v>359</v>
      </c>
      <c r="P18" s="67" t="s">
        <v>360</v>
      </c>
      <c r="Q18" s="67">
        <v>12532353</v>
      </c>
      <c r="R18" s="67">
        <v>20675457</v>
      </c>
      <c r="S18" s="67" t="s">
        <v>361</v>
      </c>
      <c r="T18" s="67">
        <v>8099</v>
      </c>
      <c r="U18" s="67">
        <v>6281</v>
      </c>
      <c r="V18" s="67">
        <v>5151</v>
      </c>
      <c r="W18" s="67">
        <v>3991</v>
      </c>
      <c r="X18" s="67">
        <v>2275</v>
      </c>
    </row>
    <row r="19" spans="1:24" x14ac:dyDescent="0.35">
      <c r="A19" s="1">
        <v>44228</v>
      </c>
      <c r="B19" s="67">
        <v>24998823</v>
      </c>
      <c r="C19" s="56">
        <v>136033</v>
      </c>
      <c r="D19" s="69">
        <v>152686</v>
      </c>
      <c r="E19" s="70">
        <f t="shared" si="0"/>
        <v>16653</v>
      </c>
      <c r="F19" s="67" t="s">
        <v>44</v>
      </c>
      <c r="G19" s="67" t="s">
        <v>37</v>
      </c>
      <c r="H19" s="67" t="s">
        <v>362</v>
      </c>
      <c r="I19" s="67" t="s">
        <v>363</v>
      </c>
      <c r="J19" s="67" t="s">
        <v>364</v>
      </c>
      <c r="K19" s="67" t="s">
        <v>365</v>
      </c>
      <c r="L19" s="67" t="s">
        <v>366</v>
      </c>
      <c r="M19" s="67" t="s">
        <v>367</v>
      </c>
      <c r="N19" s="67" t="s">
        <v>368</v>
      </c>
      <c r="O19" s="67" t="s">
        <v>369</v>
      </c>
      <c r="P19" s="67" t="s">
        <v>370</v>
      </c>
      <c r="Q19" s="67">
        <v>17708864</v>
      </c>
      <c r="R19" s="67">
        <v>24241001</v>
      </c>
      <c r="S19" s="67" t="s">
        <v>371</v>
      </c>
      <c r="T19" s="67">
        <v>6007</v>
      </c>
      <c r="U19" s="67">
        <v>4697</v>
      </c>
      <c r="V19" s="67">
        <v>3905</v>
      </c>
      <c r="W19" s="67">
        <v>3146</v>
      </c>
      <c r="X19" s="67">
        <v>1691</v>
      </c>
    </row>
    <row r="20" spans="1:24" x14ac:dyDescent="0.35">
      <c r="A20" s="1">
        <v>44228</v>
      </c>
      <c r="B20" s="67">
        <v>24998823</v>
      </c>
      <c r="C20" s="56">
        <v>523516</v>
      </c>
      <c r="D20" s="69">
        <v>508270</v>
      </c>
      <c r="E20" s="70">
        <f t="shared" si="0"/>
        <v>-15246</v>
      </c>
      <c r="F20" s="67" t="s">
        <v>44</v>
      </c>
      <c r="G20" s="67" t="s">
        <v>38</v>
      </c>
      <c r="H20" s="67" t="s">
        <v>372</v>
      </c>
      <c r="I20" s="67" t="s">
        <v>373</v>
      </c>
      <c r="J20" s="67" t="s">
        <v>374</v>
      </c>
      <c r="K20" s="67" t="s">
        <v>375</v>
      </c>
      <c r="L20" s="67" t="s">
        <v>376</v>
      </c>
      <c r="M20" s="67" t="s">
        <v>377</v>
      </c>
      <c r="N20" s="67" t="s">
        <v>378</v>
      </c>
      <c r="O20" s="67" t="s">
        <v>379</v>
      </c>
      <c r="P20" s="67" t="s">
        <v>380</v>
      </c>
      <c r="Q20" s="67">
        <v>11219160</v>
      </c>
      <c r="R20" s="67">
        <v>30459480</v>
      </c>
      <c r="S20" s="67" t="s">
        <v>381</v>
      </c>
      <c r="T20" s="67">
        <v>123899</v>
      </c>
      <c r="U20" s="67">
        <v>92724</v>
      </c>
      <c r="V20" s="67">
        <v>75341</v>
      </c>
      <c r="W20" s="67">
        <v>53326</v>
      </c>
      <c r="X20" s="67">
        <v>26101</v>
      </c>
    </row>
    <row r="21" spans="1:24" x14ac:dyDescent="0.35">
      <c r="A21" s="1">
        <v>44228</v>
      </c>
      <c r="B21" s="67">
        <v>24998823</v>
      </c>
      <c r="C21" s="56">
        <v>95244</v>
      </c>
      <c r="D21" s="69">
        <v>110057</v>
      </c>
      <c r="E21" s="70">
        <f t="shared" si="0"/>
        <v>14813</v>
      </c>
      <c r="F21" s="67" t="s">
        <v>44</v>
      </c>
      <c r="G21" s="67" t="s">
        <v>39</v>
      </c>
      <c r="H21" s="67" t="s">
        <v>382</v>
      </c>
      <c r="I21" s="67" t="s">
        <v>383</v>
      </c>
      <c r="J21" s="67" t="s">
        <v>384</v>
      </c>
      <c r="K21" s="67" t="s">
        <v>385</v>
      </c>
      <c r="L21" s="67" t="s">
        <v>386</v>
      </c>
      <c r="M21" s="67" t="s">
        <v>387</v>
      </c>
      <c r="N21" s="67" t="s">
        <v>388</v>
      </c>
      <c r="O21" s="67" t="s">
        <v>389</v>
      </c>
      <c r="P21" s="67" t="s">
        <v>390</v>
      </c>
      <c r="Q21" s="67">
        <v>19149529</v>
      </c>
      <c r="R21" s="67">
        <v>21007946</v>
      </c>
      <c r="S21" s="67" t="s">
        <v>391</v>
      </c>
      <c r="T21" s="67">
        <v>2897</v>
      </c>
      <c r="U21" s="67">
        <v>2348</v>
      </c>
      <c r="V21" s="67">
        <v>1955</v>
      </c>
      <c r="W21" s="67">
        <v>1628</v>
      </c>
      <c r="X21" s="67">
        <v>979</v>
      </c>
    </row>
    <row r="22" spans="1:24" x14ac:dyDescent="0.35">
      <c r="A22" s="1">
        <v>44228</v>
      </c>
      <c r="B22" s="67">
        <v>24998823</v>
      </c>
      <c r="C22" s="56">
        <v>325910</v>
      </c>
      <c r="D22" s="69">
        <v>326943</v>
      </c>
      <c r="E22" s="70">
        <f t="shared" si="0"/>
        <v>1033</v>
      </c>
      <c r="F22" s="67" t="s">
        <v>44</v>
      </c>
      <c r="G22" s="67" t="s">
        <v>40</v>
      </c>
      <c r="H22" s="67" t="s">
        <v>392</v>
      </c>
      <c r="I22" s="67" t="s">
        <v>393</v>
      </c>
      <c r="J22" s="67" t="s">
        <v>394</v>
      </c>
      <c r="K22" s="67" t="s">
        <v>395</v>
      </c>
      <c r="L22" s="67" t="s">
        <v>396</v>
      </c>
      <c r="M22" s="67" t="s">
        <v>397</v>
      </c>
      <c r="N22" s="67" t="s">
        <v>398</v>
      </c>
      <c r="O22" s="67" t="s">
        <v>399</v>
      </c>
      <c r="P22" s="67" t="s">
        <v>400</v>
      </c>
      <c r="Q22" s="67">
        <v>10696497</v>
      </c>
      <c r="R22" s="67">
        <v>26443758</v>
      </c>
      <c r="S22" s="67" t="s">
        <v>401</v>
      </c>
      <c r="T22" s="67">
        <v>48777</v>
      </c>
      <c r="U22" s="67">
        <v>36208</v>
      </c>
      <c r="V22" s="67">
        <v>29569</v>
      </c>
      <c r="W22" s="67">
        <v>22235</v>
      </c>
      <c r="X22" s="67">
        <v>11273</v>
      </c>
    </row>
    <row r="23" spans="1:24" x14ac:dyDescent="0.35">
      <c r="A23" s="1">
        <v>44228</v>
      </c>
      <c r="B23" s="67">
        <v>24998823</v>
      </c>
      <c r="C23" s="56">
        <v>214569</v>
      </c>
      <c r="D23" s="69">
        <v>221519</v>
      </c>
      <c r="E23" s="70">
        <f t="shared" si="0"/>
        <v>6950</v>
      </c>
      <c r="F23" s="67" t="s">
        <v>44</v>
      </c>
      <c r="G23" s="67" t="s">
        <v>41</v>
      </c>
      <c r="H23" s="67" t="s">
        <v>402</v>
      </c>
      <c r="I23" s="67" t="s">
        <v>403</v>
      </c>
      <c r="J23" s="67" t="s">
        <v>404</v>
      </c>
      <c r="K23" s="67" t="s">
        <v>405</v>
      </c>
      <c r="L23" s="67" t="s">
        <v>406</v>
      </c>
      <c r="M23" s="67" t="s">
        <v>407</v>
      </c>
      <c r="N23" s="67" t="s">
        <v>408</v>
      </c>
      <c r="O23" s="67" t="s">
        <v>409</v>
      </c>
      <c r="P23" s="67" t="s">
        <v>410</v>
      </c>
      <c r="Q23" s="67">
        <v>9613399</v>
      </c>
      <c r="R23" s="67">
        <v>21824337</v>
      </c>
      <c r="S23" s="67" t="s">
        <v>411</v>
      </c>
      <c r="T23" s="67">
        <v>23182</v>
      </c>
      <c r="U23" s="67">
        <v>17502</v>
      </c>
      <c r="V23" s="67">
        <v>14303</v>
      </c>
      <c r="W23" s="67">
        <v>11017</v>
      </c>
      <c r="X23" s="67">
        <v>5803</v>
      </c>
    </row>
    <row r="24" spans="1:24" x14ac:dyDescent="0.35">
      <c r="A24" s="1">
        <v>44228</v>
      </c>
      <c r="B24" s="67">
        <v>24998823</v>
      </c>
      <c r="C24" s="56">
        <v>58779</v>
      </c>
      <c r="D24" s="69">
        <v>72205</v>
      </c>
      <c r="E24" s="70">
        <f t="shared" si="0"/>
        <v>13426</v>
      </c>
      <c r="F24" s="67" t="s">
        <v>44</v>
      </c>
      <c r="G24" s="67" t="s">
        <v>42</v>
      </c>
      <c r="H24" s="67" t="s">
        <v>412</v>
      </c>
      <c r="I24" s="67" t="s">
        <v>413</v>
      </c>
      <c r="J24" s="67" t="s">
        <v>414</v>
      </c>
      <c r="K24" s="67" t="s">
        <v>415</v>
      </c>
      <c r="L24" s="67" t="s">
        <v>416</v>
      </c>
      <c r="M24" s="67" t="s">
        <v>417</v>
      </c>
      <c r="N24" s="67" t="s">
        <v>418</v>
      </c>
      <c r="O24" s="67" t="s">
        <v>419</v>
      </c>
      <c r="P24" s="67" t="s">
        <v>420</v>
      </c>
      <c r="Q24" s="67">
        <v>20759681</v>
      </c>
      <c r="R24" s="67">
        <v>18137472</v>
      </c>
      <c r="S24" s="67" t="s">
        <v>421</v>
      </c>
      <c r="T24" s="67">
        <v>1130</v>
      </c>
      <c r="U24" s="67">
        <v>894</v>
      </c>
      <c r="V24" s="67">
        <v>753</v>
      </c>
      <c r="W24" s="67">
        <v>616</v>
      </c>
      <c r="X24" s="67">
        <v>385</v>
      </c>
    </row>
    <row r="25" spans="1:24" ht="15" thickBot="1" x14ac:dyDescent="0.4">
      <c r="A25" s="1">
        <v>44228</v>
      </c>
      <c r="B25" s="67">
        <v>24998823</v>
      </c>
      <c r="C25" s="60">
        <v>15567</v>
      </c>
      <c r="D25" s="71">
        <v>15245</v>
      </c>
      <c r="E25" s="72">
        <f t="shared" si="0"/>
        <v>-322</v>
      </c>
      <c r="F25" s="67" t="s">
        <v>44</v>
      </c>
      <c r="G25" s="67" t="s">
        <v>43</v>
      </c>
      <c r="H25" s="67" t="s">
        <v>422</v>
      </c>
      <c r="I25" s="67" t="s">
        <v>423</v>
      </c>
      <c r="J25" s="67" t="s">
        <v>424</v>
      </c>
      <c r="K25" s="67" t="s">
        <v>425</v>
      </c>
      <c r="L25" s="67" t="s">
        <v>426</v>
      </c>
      <c r="M25" s="67" t="s">
        <v>427</v>
      </c>
      <c r="N25" s="67" t="s">
        <v>428</v>
      </c>
      <c r="O25" s="67" t="s">
        <v>429</v>
      </c>
      <c r="P25" s="67" t="s">
        <v>430</v>
      </c>
      <c r="Q25" s="67">
        <v>27564</v>
      </c>
      <c r="R25" s="67">
        <v>84266</v>
      </c>
      <c r="S25" s="67" t="s">
        <v>431</v>
      </c>
      <c r="T25" s="67">
        <v>6579</v>
      </c>
      <c r="U25" s="67">
        <v>5882</v>
      </c>
      <c r="V25" s="67">
        <v>4833</v>
      </c>
      <c r="W25" s="67">
        <v>3087</v>
      </c>
      <c r="X25" s="67">
        <v>2240</v>
      </c>
    </row>
    <row r="26" spans="1:24" x14ac:dyDescent="0.35">
      <c r="A26" s="1">
        <v>44228</v>
      </c>
      <c r="B26" s="67">
        <v>24998823</v>
      </c>
      <c r="C26" s="52">
        <v>1523993</v>
      </c>
      <c r="D26" s="65">
        <v>1476418</v>
      </c>
      <c r="E26" s="66">
        <f t="shared" si="0"/>
        <v>-47575</v>
      </c>
      <c r="F26" s="67" t="s">
        <v>45</v>
      </c>
      <c r="G26" s="67" t="s">
        <v>32</v>
      </c>
      <c r="H26" s="67" t="s">
        <v>432</v>
      </c>
      <c r="I26" s="67" t="s">
        <v>433</v>
      </c>
      <c r="J26" s="67" t="s">
        <v>434</v>
      </c>
      <c r="K26" s="67" t="s">
        <v>435</v>
      </c>
      <c r="L26" s="67" t="s">
        <v>436</v>
      </c>
      <c r="M26" s="67" t="s">
        <v>437</v>
      </c>
      <c r="N26" s="67" t="s">
        <v>438</v>
      </c>
      <c r="O26" s="67" t="s">
        <v>439</v>
      </c>
      <c r="P26" s="67" t="s">
        <v>440</v>
      </c>
      <c r="Q26" s="67">
        <v>2115765</v>
      </c>
      <c r="R26" s="67">
        <v>9625341</v>
      </c>
      <c r="S26" s="67" t="s">
        <v>441</v>
      </c>
      <c r="T26" s="67">
        <v>1225831</v>
      </c>
      <c r="U26" s="67">
        <v>1101307</v>
      </c>
      <c r="V26" s="67">
        <v>927959</v>
      </c>
      <c r="W26" s="67">
        <v>440034</v>
      </c>
      <c r="X26" s="67">
        <v>215046</v>
      </c>
    </row>
    <row r="27" spans="1:24" x14ac:dyDescent="0.35">
      <c r="A27" s="1">
        <v>44228</v>
      </c>
      <c r="B27" s="67">
        <v>24998823</v>
      </c>
      <c r="C27" s="56">
        <v>611369</v>
      </c>
      <c r="D27" s="69">
        <v>597301</v>
      </c>
      <c r="E27" s="70">
        <f t="shared" si="0"/>
        <v>-14068</v>
      </c>
      <c r="F27" s="67" t="s">
        <v>45</v>
      </c>
      <c r="G27" s="67" t="s">
        <v>33</v>
      </c>
      <c r="H27" s="67" t="s">
        <v>442</v>
      </c>
      <c r="I27" s="67" t="s">
        <v>443</v>
      </c>
      <c r="J27" s="67" t="s">
        <v>444</v>
      </c>
      <c r="K27" s="67" t="s">
        <v>445</v>
      </c>
      <c r="L27" s="67" t="s">
        <v>446</v>
      </c>
      <c r="M27" s="67" t="s">
        <v>447</v>
      </c>
      <c r="N27" s="67" t="s">
        <v>448</v>
      </c>
      <c r="O27" s="67" t="s">
        <v>449</v>
      </c>
      <c r="P27" s="67" t="s">
        <v>450</v>
      </c>
      <c r="Q27" s="67">
        <v>5983703</v>
      </c>
      <c r="R27" s="67">
        <v>10879614</v>
      </c>
      <c r="S27" s="67" t="s">
        <v>451</v>
      </c>
      <c r="T27" s="67">
        <v>357679</v>
      </c>
      <c r="U27" s="67">
        <v>309366</v>
      </c>
      <c r="V27" s="67">
        <v>275390</v>
      </c>
      <c r="W27" s="67">
        <v>160597</v>
      </c>
      <c r="X27" s="67">
        <v>75590</v>
      </c>
    </row>
    <row r="28" spans="1:24" x14ac:dyDescent="0.35">
      <c r="A28" s="1">
        <v>44228</v>
      </c>
      <c r="B28" s="67">
        <v>24998823</v>
      </c>
      <c r="C28" s="56">
        <v>99269</v>
      </c>
      <c r="D28" s="69">
        <v>107211</v>
      </c>
      <c r="E28" s="70">
        <f t="shared" si="0"/>
        <v>7942</v>
      </c>
      <c r="F28" s="67" t="s">
        <v>45</v>
      </c>
      <c r="G28" s="67" t="s">
        <v>34</v>
      </c>
      <c r="H28" s="67" t="s">
        <v>452</v>
      </c>
      <c r="I28" s="67" t="s">
        <v>453</v>
      </c>
      <c r="J28" s="67" t="s">
        <v>454</v>
      </c>
      <c r="K28" s="67" t="s">
        <v>455</v>
      </c>
      <c r="L28" s="67" t="s">
        <v>456</v>
      </c>
      <c r="M28" s="67" t="s">
        <v>457</v>
      </c>
      <c r="N28" s="67" t="s">
        <v>458</v>
      </c>
      <c r="O28" s="67" t="s">
        <v>459</v>
      </c>
      <c r="P28" s="67" t="s">
        <v>460</v>
      </c>
      <c r="Q28" s="67">
        <v>7140781</v>
      </c>
      <c r="R28" s="67">
        <v>8909441</v>
      </c>
      <c r="S28" s="67" t="s">
        <v>461</v>
      </c>
      <c r="T28" s="67">
        <v>19045</v>
      </c>
      <c r="U28" s="67">
        <v>16020</v>
      </c>
      <c r="V28" s="67">
        <v>14206</v>
      </c>
      <c r="W28" s="67">
        <v>11376</v>
      </c>
      <c r="X28" s="67">
        <v>6340</v>
      </c>
    </row>
    <row r="29" spans="1:24" x14ac:dyDescent="0.35">
      <c r="A29" s="1">
        <v>44228</v>
      </c>
      <c r="B29" s="67">
        <v>24998823</v>
      </c>
      <c r="C29" s="56">
        <v>66076</v>
      </c>
      <c r="D29" s="69">
        <v>73707</v>
      </c>
      <c r="E29" s="70">
        <f t="shared" si="0"/>
        <v>7631</v>
      </c>
      <c r="F29" s="67" t="s">
        <v>45</v>
      </c>
      <c r="G29" s="67" t="s">
        <v>35</v>
      </c>
      <c r="H29" s="67" t="s">
        <v>462</v>
      </c>
      <c r="I29" s="67" t="s">
        <v>463</v>
      </c>
      <c r="J29" s="67" t="s">
        <v>464</v>
      </c>
      <c r="K29" s="67" t="s">
        <v>465</v>
      </c>
      <c r="L29" s="67" t="s">
        <v>466</v>
      </c>
      <c r="M29" s="67" t="s">
        <v>467</v>
      </c>
      <c r="N29" s="67" t="s">
        <v>468</v>
      </c>
      <c r="O29" s="67" t="s">
        <v>469</v>
      </c>
      <c r="P29" s="67" t="s">
        <v>470</v>
      </c>
      <c r="Q29" s="67">
        <v>5922737</v>
      </c>
      <c r="R29" s="67">
        <v>6851199</v>
      </c>
      <c r="S29" s="67" t="s">
        <v>471</v>
      </c>
      <c r="T29" s="67">
        <v>11242</v>
      </c>
      <c r="U29" s="67">
        <v>9505</v>
      </c>
      <c r="V29" s="67">
        <v>8371</v>
      </c>
      <c r="W29" s="67">
        <v>6738</v>
      </c>
      <c r="X29" s="67">
        <v>3790</v>
      </c>
    </row>
    <row r="30" spans="1:24" x14ac:dyDescent="0.35">
      <c r="A30" s="1">
        <v>44228</v>
      </c>
      <c r="B30" s="67">
        <v>24998823</v>
      </c>
      <c r="C30" s="56">
        <v>79528</v>
      </c>
      <c r="D30" s="69">
        <v>89424</v>
      </c>
      <c r="E30" s="70">
        <f t="shared" si="0"/>
        <v>9896</v>
      </c>
      <c r="F30" s="67" t="s">
        <v>45</v>
      </c>
      <c r="G30" s="67" t="s">
        <v>36</v>
      </c>
      <c r="H30" s="67" t="s">
        <v>472</v>
      </c>
      <c r="I30" s="67" t="s">
        <v>473</v>
      </c>
      <c r="J30" s="67" t="s">
        <v>474</v>
      </c>
      <c r="K30" s="67" t="s">
        <v>475</v>
      </c>
      <c r="L30" s="67" t="s">
        <v>476</v>
      </c>
      <c r="M30" s="67" t="s">
        <v>477</v>
      </c>
      <c r="N30" s="67" t="s">
        <v>478</v>
      </c>
      <c r="O30" s="67" t="s">
        <v>479</v>
      </c>
      <c r="P30" s="67" t="s">
        <v>480</v>
      </c>
      <c r="Q30" s="67">
        <v>9071419</v>
      </c>
      <c r="R30" s="67">
        <v>9603130</v>
      </c>
      <c r="S30" s="67" t="s">
        <v>481</v>
      </c>
      <c r="T30" s="67">
        <v>11844</v>
      </c>
      <c r="U30" s="67">
        <v>9975</v>
      </c>
      <c r="V30" s="67">
        <v>8838</v>
      </c>
      <c r="W30" s="67">
        <v>7223</v>
      </c>
      <c r="X30" s="67">
        <v>4168</v>
      </c>
    </row>
    <row r="31" spans="1:24" x14ac:dyDescent="0.35">
      <c r="A31" s="1">
        <v>44228</v>
      </c>
      <c r="B31" s="67">
        <v>24998823</v>
      </c>
      <c r="C31" s="56">
        <v>69582</v>
      </c>
      <c r="D31" s="69">
        <v>80275</v>
      </c>
      <c r="E31" s="70">
        <f t="shared" si="0"/>
        <v>10693</v>
      </c>
      <c r="F31" s="67" t="s">
        <v>45</v>
      </c>
      <c r="G31" s="67" t="s">
        <v>37</v>
      </c>
      <c r="H31" s="67" t="s">
        <v>482</v>
      </c>
      <c r="I31" s="67" t="s">
        <v>483</v>
      </c>
      <c r="J31" s="67" t="s">
        <v>484</v>
      </c>
      <c r="K31" s="67" t="s">
        <v>485</v>
      </c>
      <c r="L31" s="67" t="s">
        <v>486</v>
      </c>
      <c r="M31" s="67" t="s">
        <v>487</v>
      </c>
      <c r="N31" s="67" t="s">
        <v>488</v>
      </c>
      <c r="O31" s="67" t="s">
        <v>489</v>
      </c>
      <c r="P31" s="67" t="s">
        <v>490</v>
      </c>
      <c r="Q31" s="67">
        <v>11124969</v>
      </c>
      <c r="R31" s="67">
        <v>10442450</v>
      </c>
      <c r="S31" s="67" t="s">
        <v>491</v>
      </c>
      <c r="T31" s="67">
        <v>8322</v>
      </c>
      <c r="U31" s="67">
        <v>7063</v>
      </c>
      <c r="V31" s="67">
        <v>6244</v>
      </c>
      <c r="W31" s="67">
        <v>5132</v>
      </c>
      <c r="X31" s="67">
        <v>3047</v>
      </c>
    </row>
    <row r="32" spans="1:24" x14ac:dyDescent="0.35">
      <c r="A32" s="1">
        <v>44228</v>
      </c>
      <c r="B32" s="67">
        <v>24998823</v>
      </c>
      <c r="C32" s="56">
        <v>488583</v>
      </c>
      <c r="D32" s="69">
        <v>484769</v>
      </c>
      <c r="E32" s="70">
        <f t="shared" si="0"/>
        <v>-3814</v>
      </c>
      <c r="F32" s="67" t="s">
        <v>45</v>
      </c>
      <c r="G32" s="67" t="s">
        <v>38</v>
      </c>
      <c r="H32" s="67" t="s">
        <v>492</v>
      </c>
      <c r="I32" s="67" t="s">
        <v>493</v>
      </c>
      <c r="J32" s="67" t="s">
        <v>494</v>
      </c>
      <c r="K32" s="67" t="s">
        <v>495</v>
      </c>
      <c r="L32" s="67" t="s">
        <v>496</v>
      </c>
      <c r="M32" s="67" t="s">
        <v>497</v>
      </c>
      <c r="N32" s="67" t="s">
        <v>498</v>
      </c>
      <c r="O32" s="67" t="s">
        <v>499</v>
      </c>
      <c r="P32" s="67" t="s">
        <v>500</v>
      </c>
      <c r="Q32" s="67">
        <v>10696039</v>
      </c>
      <c r="R32" s="67">
        <v>17616832</v>
      </c>
      <c r="S32" s="67" t="s">
        <v>501</v>
      </c>
      <c r="T32" s="67">
        <v>194934</v>
      </c>
      <c r="U32" s="67">
        <v>163518</v>
      </c>
      <c r="V32" s="67">
        <v>144529</v>
      </c>
      <c r="W32" s="67">
        <v>101879</v>
      </c>
      <c r="X32" s="67">
        <v>49467</v>
      </c>
    </row>
    <row r="33" spans="1:24" x14ac:dyDescent="0.35">
      <c r="A33" s="1">
        <v>44228</v>
      </c>
      <c r="B33" s="67">
        <v>24998823</v>
      </c>
      <c r="C33" s="56">
        <v>41986</v>
      </c>
      <c r="D33" s="69">
        <v>49883</v>
      </c>
      <c r="E33" s="70">
        <f t="shared" si="0"/>
        <v>7897</v>
      </c>
      <c r="F33" s="67" t="s">
        <v>45</v>
      </c>
      <c r="G33" s="67" t="s">
        <v>39</v>
      </c>
      <c r="H33" s="67" t="s">
        <v>502</v>
      </c>
      <c r="I33" s="67" t="s">
        <v>503</v>
      </c>
      <c r="J33" s="67" t="s">
        <v>504</v>
      </c>
      <c r="K33" s="67" t="s">
        <v>505</v>
      </c>
      <c r="L33" s="67" t="s">
        <v>506</v>
      </c>
      <c r="M33" s="67" t="s">
        <v>507</v>
      </c>
      <c r="N33" s="67" t="s">
        <v>508</v>
      </c>
      <c r="O33" s="67" t="s">
        <v>509</v>
      </c>
      <c r="P33" s="67" t="s">
        <v>510</v>
      </c>
      <c r="Q33" s="67">
        <v>9878584</v>
      </c>
      <c r="R33" s="67">
        <v>8253473</v>
      </c>
      <c r="S33" s="67" t="s">
        <v>511</v>
      </c>
      <c r="T33" s="67">
        <v>3751</v>
      </c>
      <c r="U33" s="67">
        <v>3219</v>
      </c>
      <c r="V33" s="67">
        <v>2842</v>
      </c>
      <c r="W33" s="67">
        <v>2398</v>
      </c>
      <c r="X33" s="67">
        <v>1477</v>
      </c>
    </row>
    <row r="34" spans="1:24" x14ac:dyDescent="0.35">
      <c r="A34" s="1">
        <v>44228</v>
      </c>
      <c r="B34" s="67">
        <v>24998823</v>
      </c>
      <c r="C34" s="56">
        <v>262268</v>
      </c>
      <c r="D34" s="69">
        <v>268893</v>
      </c>
      <c r="E34" s="70">
        <f t="shared" si="0"/>
        <v>6625</v>
      </c>
      <c r="F34" s="67" t="s">
        <v>45</v>
      </c>
      <c r="G34" s="67" t="s">
        <v>40</v>
      </c>
      <c r="H34" s="67" t="s">
        <v>512</v>
      </c>
      <c r="I34" s="67" t="s">
        <v>513</v>
      </c>
      <c r="J34" s="67" t="s">
        <v>514</v>
      </c>
      <c r="K34" s="67" t="s">
        <v>515</v>
      </c>
      <c r="L34" s="67" t="s">
        <v>516</v>
      </c>
      <c r="M34" s="67" t="s">
        <v>517</v>
      </c>
      <c r="N34" s="67" t="s">
        <v>518</v>
      </c>
      <c r="O34" s="67" t="s">
        <v>519</v>
      </c>
      <c r="P34" s="67" t="s">
        <v>520</v>
      </c>
      <c r="Q34" s="67">
        <v>9665654</v>
      </c>
      <c r="R34" s="67">
        <v>14774765</v>
      </c>
      <c r="S34" s="67" t="s">
        <v>521</v>
      </c>
      <c r="T34" s="67">
        <v>75432</v>
      </c>
      <c r="U34" s="67">
        <v>63074</v>
      </c>
      <c r="V34" s="67">
        <v>55669</v>
      </c>
      <c r="W34" s="67">
        <v>42292</v>
      </c>
      <c r="X34" s="67">
        <v>21577</v>
      </c>
    </row>
    <row r="35" spans="1:24" x14ac:dyDescent="0.35">
      <c r="A35" s="1">
        <v>44228</v>
      </c>
      <c r="B35" s="67">
        <v>24998823</v>
      </c>
      <c r="C35" s="56">
        <v>155880</v>
      </c>
      <c r="D35" s="69">
        <v>165908</v>
      </c>
      <c r="E35" s="70">
        <f t="shared" si="0"/>
        <v>10028</v>
      </c>
      <c r="F35" s="67" t="s">
        <v>45</v>
      </c>
      <c r="G35" s="67" t="s">
        <v>41</v>
      </c>
      <c r="H35" s="67" t="s">
        <v>522</v>
      </c>
      <c r="I35" s="67" t="s">
        <v>523</v>
      </c>
      <c r="J35" s="67" t="s">
        <v>524</v>
      </c>
      <c r="K35" s="67" t="s">
        <v>525</v>
      </c>
      <c r="L35" s="67" t="s">
        <v>526</v>
      </c>
      <c r="M35" s="67" t="s">
        <v>527</v>
      </c>
      <c r="N35" s="67" t="s">
        <v>528</v>
      </c>
      <c r="O35" s="67" t="s">
        <v>529</v>
      </c>
      <c r="P35" s="67" t="s">
        <v>530</v>
      </c>
      <c r="Q35" s="67">
        <v>8456721</v>
      </c>
      <c r="R35" s="67">
        <v>11514168</v>
      </c>
      <c r="S35" s="67" t="s">
        <v>531</v>
      </c>
      <c r="T35" s="67">
        <v>35961</v>
      </c>
      <c r="U35" s="67">
        <v>30059</v>
      </c>
      <c r="V35" s="67">
        <v>26639</v>
      </c>
      <c r="W35" s="67">
        <v>20891</v>
      </c>
      <c r="X35" s="67">
        <v>11170</v>
      </c>
    </row>
    <row r="36" spans="1:24" x14ac:dyDescent="0.35">
      <c r="A36" s="1">
        <v>44228</v>
      </c>
      <c r="B36" s="67">
        <v>24998823</v>
      </c>
      <c r="C36" s="56">
        <v>21234</v>
      </c>
      <c r="D36" s="69">
        <v>26382</v>
      </c>
      <c r="E36" s="70">
        <f t="shared" si="0"/>
        <v>5148</v>
      </c>
      <c r="F36" s="67" t="s">
        <v>45</v>
      </c>
      <c r="G36" s="67" t="s">
        <v>42</v>
      </c>
      <c r="H36" s="67" t="s">
        <v>532</v>
      </c>
      <c r="I36" s="67" t="s">
        <v>533</v>
      </c>
      <c r="J36" s="67" t="s">
        <v>534</v>
      </c>
      <c r="K36" s="67" t="s">
        <v>535</v>
      </c>
      <c r="L36" s="67" t="s">
        <v>536</v>
      </c>
      <c r="M36" s="67" t="s">
        <v>537</v>
      </c>
      <c r="N36" s="67" t="s">
        <v>538</v>
      </c>
      <c r="O36" s="67" t="s">
        <v>539</v>
      </c>
      <c r="P36" s="67" t="s">
        <v>540</v>
      </c>
      <c r="Q36" s="67">
        <v>8020566</v>
      </c>
      <c r="R36" s="67">
        <v>6484613</v>
      </c>
      <c r="S36" s="67" t="s">
        <v>541</v>
      </c>
      <c r="T36" s="67">
        <v>1364</v>
      </c>
      <c r="U36" s="67">
        <v>1183</v>
      </c>
      <c r="V36" s="67">
        <v>1034</v>
      </c>
      <c r="W36" s="67">
        <v>880</v>
      </c>
      <c r="X36" s="67">
        <v>582</v>
      </c>
    </row>
    <row r="37" spans="1:24" ht="15" thickBot="1" x14ac:dyDescent="0.4">
      <c r="A37" s="1">
        <v>44228</v>
      </c>
      <c r="B37" s="67">
        <v>24998823</v>
      </c>
      <c r="C37" s="60">
        <v>27302</v>
      </c>
      <c r="D37" s="71">
        <v>26899</v>
      </c>
      <c r="E37" s="72">
        <f t="shared" si="0"/>
        <v>-403</v>
      </c>
      <c r="F37" s="67" t="s">
        <v>45</v>
      </c>
      <c r="G37" s="67" t="s">
        <v>43</v>
      </c>
      <c r="H37" s="67" t="s">
        <v>542</v>
      </c>
      <c r="I37" s="67" t="s">
        <v>543</v>
      </c>
      <c r="J37" s="67" t="s">
        <v>544</v>
      </c>
      <c r="K37" s="67" t="s">
        <v>545</v>
      </c>
      <c r="L37" s="67" t="s">
        <v>546</v>
      </c>
      <c r="M37" s="67" t="s">
        <v>547</v>
      </c>
      <c r="N37" s="67" t="s">
        <v>548</v>
      </c>
      <c r="O37" s="67" t="s">
        <v>549</v>
      </c>
      <c r="P37" s="67" t="s">
        <v>550</v>
      </c>
      <c r="Q37" s="67">
        <v>300279</v>
      </c>
      <c r="R37" s="67">
        <v>1129577</v>
      </c>
      <c r="S37" s="67" t="s">
        <v>551</v>
      </c>
      <c r="T37" s="67">
        <v>13097</v>
      </c>
      <c r="U37" s="67">
        <v>11602</v>
      </c>
      <c r="V37" s="67">
        <v>9210</v>
      </c>
      <c r="W37" s="67">
        <v>4930</v>
      </c>
      <c r="X37" s="67">
        <v>3183</v>
      </c>
    </row>
    <row r="38" spans="1:24" x14ac:dyDescent="0.35">
      <c r="A38" s="1">
        <v>44228</v>
      </c>
      <c r="B38" s="67">
        <v>24998823</v>
      </c>
      <c r="C38" s="52">
        <v>895156</v>
      </c>
      <c r="D38" s="65">
        <v>862625</v>
      </c>
      <c r="E38" s="66">
        <f t="shared" si="0"/>
        <v>-32531</v>
      </c>
      <c r="F38" s="67" t="s">
        <v>46</v>
      </c>
      <c r="G38" s="67" t="s">
        <v>32</v>
      </c>
      <c r="H38" s="67" t="s">
        <v>552</v>
      </c>
      <c r="I38" s="67" t="s">
        <v>553</v>
      </c>
      <c r="J38" s="67" t="s">
        <v>554</v>
      </c>
      <c r="K38" s="67" t="s">
        <v>555</v>
      </c>
      <c r="L38" s="67" t="s">
        <v>556</v>
      </c>
      <c r="M38" s="67" t="s">
        <v>557</v>
      </c>
      <c r="N38" s="67" t="s">
        <v>558</v>
      </c>
      <c r="O38" s="67" t="s">
        <v>559</v>
      </c>
      <c r="P38" s="67" t="s">
        <v>560</v>
      </c>
      <c r="Q38" s="67">
        <v>1402224</v>
      </c>
      <c r="R38" s="67">
        <v>6630390</v>
      </c>
      <c r="S38" s="67" t="s">
        <v>561</v>
      </c>
      <c r="T38" s="67">
        <v>667567</v>
      </c>
      <c r="U38" s="67">
        <v>581087</v>
      </c>
      <c r="V38" s="67">
        <v>495588</v>
      </c>
      <c r="W38" s="67">
        <v>266104</v>
      </c>
      <c r="X38" s="67">
        <v>135182</v>
      </c>
    </row>
    <row r="39" spans="1:24" x14ac:dyDescent="0.35">
      <c r="A39" s="1">
        <v>44228</v>
      </c>
      <c r="B39" s="67">
        <v>24998823</v>
      </c>
      <c r="C39" s="56">
        <v>396348</v>
      </c>
      <c r="D39" s="69">
        <v>384579</v>
      </c>
      <c r="E39" s="70">
        <f t="shared" si="0"/>
        <v>-11769</v>
      </c>
      <c r="F39" s="67" t="s">
        <v>46</v>
      </c>
      <c r="G39" s="67" t="s">
        <v>33</v>
      </c>
      <c r="H39" s="67" t="s">
        <v>562</v>
      </c>
      <c r="I39" s="67" t="s">
        <v>563</v>
      </c>
      <c r="J39" s="67" t="s">
        <v>564</v>
      </c>
      <c r="K39" s="67" t="s">
        <v>565</v>
      </c>
      <c r="L39" s="67" t="s">
        <v>566</v>
      </c>
      <c r="M39" s="67" t="s">
        <v>567</v>
      </c>
      <c r="N39" s="67" t="s">
        <v>568</v>
      </c>
      <c r="O39" s="67" t="s">
        <v>569</v>
      </c>
      <c r="P39" s="67" t="s">
        <v>570</v>
      </c>
      <c r="Q39" s="67">
        <v>4250888</v>
      </c>
      <c r="R39" s="67">
        <v>9346266</v>
      </c>
      <c r="S39" s="67" t="s">
        <v>571</v>
      </c>
      <c r="T39" s="67">
        <v>199702</v>
      </c>
      <c r="U39" s="67">
        <v>163822</v>
      </c>
      <c r="V39" s="67">
        <v>140534</v>
      </c>
      <c r="W39" s="67">
        <v>91151</v>
      </c>
      <c r="X39" s="67">
        <v>44636</v>
      </c>
    </row>
    <row r="40" spans="1:24" x14ac:dyDescent="0.35">
      <c r="A40" s="1">
        <v>44228</v>
      </c>
      <c r="B40" s="67">
        <v>24998823</v>
      </c>
      <c r="C40" s="56">
        <v>71957</v>
      </c>
      <c r="D40" s="69">
        <v>78305</v>
      </c>
      <c r="E40" s="70">
        <f t="shared" si="0"/>
        <v>6348</v>
      </c>
      <c r="F40" s="67" t="s">
        <v>46</v>
      </c>
      <c r="G40" s="67" t="s">
        <v>34</v>
      </c>
      <c r="H40" s="67" t="s">
        <v>572</v>
      </c>
      <c r="I40" s="67" t="s">
        <v>573</v>
      </c>
      <c r="J40" s="67" t="s">
        <v>574</v>
      </c>
      <c r="K40" s="67" t="s">
        <v>575</v>
      </c>
      <c r="L40" s="67" t="s">
        <v>576</v>
      </c>
      <c r="M40" s="67" t="s">
        <v>577</v>
      </c>
      <c r="N40" s="67" t="s">
        <v>578</v>
      </c>
      <c r="O40" s="67" t="s">
        <v>579</v>
      </c>
      <c r="P40" s="67" t="s">
        <v>580</v>
      </c>
      <c r="Q40" s="67">
        <v>5503872</v>
      </c>
      <c r="R40" s="67">
        <v>7188781</v>
      </c>
      <c r="S40" s="67" t="s">
        <v>581</v>
      </c>
      <c r="T40" s="67">
        <v>9929</v>
      </c>
      <c r="U40" s="67">
        <v>7933</v>
      </c>
      <c r="V40" s="67">
        <v>6820</v>
      </c>
      <c r="W40" s="67">
        <v>5604</v>
      </c>
      <c r="X40" s="67">
        <v>3183</v>
      </c>
    </row>
    <row r="41" spans="1:24" x14ac:dyDescent="0.35">
      <c r="A41" s="1">
        <v>44228</v>
      </c>
      <c r="B41" s="67">
        <v>24998823</v>
      </c>
      <c r="C41" s="56">
        <v>49187</v>
      </c>
      <c r="D41" s="69">
        <v>54108</v>
      </c>
      <c r="E41" s="70">
        <f t="shared" si="0"/>
        <v>4921</v>
      </c>
      <c r="F41" s="67" t="s">
        <v>46</v>
      </c>
      <c r="G41" s="67" t="s">
        <v>35</v>
      </c>
      <c r="H41" s="67" t="s">
        <v>582</v>
      </c>
      <c r="I41" s="67" t="s">
        <v>583</v>
      </c>
      <c r="J41" s="67" t="s">
        <v>584</v>
      </c>
      <c r="K41" s="67" t="s">
        <v>585</v>
      </c>
      <c r="L41" s="67" t="s">
        <v>586</v>
      </c>
      <c r="M41" s="67" t="s">
        <v>587</v>
      </c>
      <c r="N41" s="67" t="s">
        <v>588</v>
      </c>
      <c r="O41" s="67" t="s">
        <v>589</v>
      </c>
      <c r="P41" s="67" t="s">
        <v>590</v>
      </c>
      <c r="Q41" s="67">
        <v>4727492</v>
      </c>
      <c r="R41" s="67">
        <v>5538124</v>
      </c>
      <c r="S41" s="67" t="s">
        <v>591</v>
      </c>
      <c r="T41" s="67">
        <v>5912</v>
      </c>
      <c r="U41" s="67">
        <v>4795</v>
      </c>
      <c r="V41" s="67">
        <v>4120</v>
      </c>
      <c r="W41" s="67">
        <v>3363</v>
      </c>
      <c r="X41" s="67">
        <v>1937</v>
      </c>
    </row>
    <row r="42" spans="1:24" x14ac:dyDescent="0.35">
      <c r="A42" s="1">
        <v>44228</v>
      </c>
      <c r="B42" s="67">
        <v>24998823</v>
      </c>
      <c r="C42" s="56">
        <v>58628</v>
      </c>
      <c r="D42" s="69">
        <v>66384</v>
      </c>
      <c r="E42" s="70">
        <f t="shared" si="0"/>
        <v>7756</v>
      </c>
      <c r="F42" s="67" t="s">
        <v>46</v>
      </c>
      <c r="G42" s="67" t="s">
        <v>36</v>
      </c>
      <c r="H42" s="67" t="s">
        <v>592</v>
      </c>
      <c r="I42" s="67" t="s">
        <v>593</v>
      </c>
      <c r="J42" s="67" t="s">
        <v>594</v>
      </c>
      <c r="K42" s="67" t="s">
        <v>595</v>
      </c>
      <c r="L42" s="67" t="s">
        <v>596</v>
      </c>
      <c r="M42" s="67" t="s">
        <v>597</v>
      </c>
      <c r="N42" s="67" t="s">
        <v>598</v>
      </c>
      <c r="O42" s="67" t="s">
        <v>599</v>
      </c>
      <c r="P42" s="67" t="s">
        <v>600</v>
      </c>
      <c r="Q42" s="67">
        <v>7150543</v>
      </c>
      <c r="R42" s="67">
        <v>7565776</v>
      </c>
      <c r="S42" s="67" t="s">
        <v>601</v>
      </c>
      <c r="T42" s="67">
        <v>6103</v>
      </c>
      <c r="U42" s="67">
        <v>4960</v>
      </c>
      <c r="V42" s="67">
        <v>4299</v>
      </c>
      <c r="W42" s="67">
        <v>3553</v>
      </c>
      <c r="X42" s="67">
        <v>2084</v>
      </c>
    </row>
    <row r="43" spans="1:24" x14ac:dyDescent="0.35">
      <c r="A43" s="1">
        <v>44228</v>
      </c>
      <c r="B43" s="67">
        <v>24998823</v>
      </c>
      <c r="C43" s="56">
        <v>51995</v>
      </c>
      <c r="D43" s="69">
        <v>60224</v>
      </c>
      <c r="E43" s="70">
        <f t="shared" si="0"/>
        <v>8229</v>
      </c>
      <c r="F43" s="67" t="s">
        <v>46</v>
      </c>
      <c r="G43" s="67" t="s">
        <v>37</v>
      </c>
      <c r="H43" s="67" t="s">
        <v>602</v>
      </c>
      <c r="I43" s="67" t="s">
        <v>603</v>
      </c>
      <c r="J43" s="67" t="s">
        <v>604</v>
      </c>
      <c r="K43" s="67" t="s">
        <v>605</v>
      </c>
      <c r="L43" s="67" t="s">
        <v>606</v>
      </c>
      <c r="M43" s="67" t="s">
        <v>607</v>
      </c>
      <c r="N43" s="67" t="s">
        <v>608</v>
      </c>
      <c r="O43" s="67" t="s">
        <v>609</v>
      </c>
      <c r="P43" s="67" t="s">
        <v>610</v>
      </c>
      <c r="Q43" s="67">
        <v>8874160</v>
      </c>
      <c r="R43" s="67">
        <v>8212304</v>
      </c>
      <c r="S43" s="67" t="s">
        <v>611</v>
      </c>
      <c r="T43" s="67">
        <v>4144</v>
      </c>
      <c r="U43" s="67">
        <v>3403</v>
      </c>
      <c r="V43" s="67">
        <v>2950</v>
      </c>
      <c r="W43" s="67">
        <v>2475</v>
      </c>
      <c r="X43" s="67">
        <v>1495</v>
      </c>
    </row>
    <row r="44" spans="1:24" x14ac:dyDescent="0.35">
      <c r="A44" s="1">
        <v>44228</v>
      </c>
      <c r="B44" s="67">
        <v>24998823</v>
      </c>
      <c r="C44" s="56">
        <v>347892</v>
      </c>
      <c r="D44" s="69">
        <v>343021</v>
      </c>
      <c r="E44" s="70">
        <f t="shared" si="0"/>
        <v>-4871</v>
      </c>
      <c r="F44" s="67" t="s">
        <v>46</v>
      </c>
      <c r="G44" s="67" t="s">
        <v>38</v>
      </c>
      <c r="H44" s="67" t="s">
        <v>612</v>
      </c>
      <c r="I44" s="67" t="s">
        <v>613</v>
      </c>
      <c r="J44" s="67" t="s">
        <v>614</v>
      </c>
      <c r="K44" s="67" t="s">
        <v>615</v>
      </c>
      <c r="L44" s="67" t="s">
        <v>616</v>
      </c>
      <c r="M44" s="67" t="s">
        <v>617</v>
      </c>
      <c r="N44" s="67" t="s">
        <v>618</v>
      </c>
      <c r="O44" s="67" t="s">
        <v>619</v>
      </c>
      <c r="P44" s="67" t="s">
        <v>620</v>
      </c>
      <c r="Q44" s="67">
        <v>7903003</v>
      </c>
      <c r="R44" s="67">
        <v>14973254</v>
      </c>
      <c r="S44" s="67" t="s">
        <v>621</v>
      </c>
      <c r="T44" s="67">
        <v>115172</v>
      </c>
      <c r="U44" s="67">
        <v>92346</v>
      </c>
      <c r="V44" s="67">
        <v>78898</v>
      </c>
      <c r="W44" s="67">
        <v>58131</v>
      </c>
      <c r="X44" s="67">
        <v>28987</v>
      </c>
    </row>
    <row r="45" spans="1:24" x14ac:dyDescent="0.35">
      <c r="A45" s="1">
        <v>44228</v>
      </c>
      <c r="B45" s="67">
        <v>24998823</v>
      </c>
      <c r="C45" s="56">
        <v>32060</v>
      </c>
      <c r="D45" s="69">
        <v>37630</v>
      </c>
      <c r="E45" s="70">
        <f t="shared" si="0"/>
        <v>5570</v>
      </c>
      <c r="F45" s="67" t="s">
        <v>46</v>
      </c>
      <c r="G45" s="67" t="s">
        <v>39</v>
      </c>
      <c r="H45" s="67" t="s">
        <v>622</v>
      </c>
      <c r="I45" s="67" t="s">
        <v>623</v>
      </c>
      <c r="J45" s="67" t="s">
        <v>624</v>
      </c>
      <c r="K45" s="67" t="s">
        <v>625</v>
      </c>
      <c r="L45" s="67" t="s">
        <v>626</v>
      </c>
      <c r="M45" s="67" t="s">
        <v>627</v>
      </c>
      <c r="N45" s="67" t="s">
        <v>628</v>
      </c>
      <c r="O45" s="67" t="s">
        <v>629</v>
      </c>
      <c r="P45" s="67" t="s">
        <v>630</v>
      </c>
      <c r="Q45" s="67">
        <v>7588177</v>
      </c>
      <c r="R45" s="67">
        <v>6279373</v>
      </c>
      <c r="S45" s="67" t="s">
        <v>631</v>
      </c>
      <c r="T45" s="67">
        <v>1908</v>
      </c>
      <c r="U45" s="67">
        <v>1594</v>
      </c>
      <c r="V45" s="67">
        <v>1389</v>
      </c>
      <c r="W45" s="67">
        <v>1163</v>
      </c>
      <c r="X45" s="67">
        <v>719</v>
      </c>
    </row>
    <row r="46" spans="1:24" x14ac:dyDescent="0.35">
      <c r="A46" s="1">
        <v>44228</v>
      </c>
      <c r="B46" s="67">
        <v>24998823</v>
      </c>
      <c r="C46" s="56">
        <v>191649</v>
      </c>
      <c r="D46" s="69">
        <v>196767</v>
      </c>
      <c r="E46" s="70">
        <f t="shared" si="0"/>
        <v>5118</v>
      </c>
      <c r="F46" s="67" t="s">
        <v>46</v>
      </c>
      <c r="G46" s="67" t="s">
        <v>40</v>
      </c>
      <c r="H46" s="67" t="s">
        <v>632</v>
      </c>
      <c r="I46" s="67" t="s">
        <v>633</v>
      </c>
      <c r="J46" s="67" t="s">
        <v>634</v>
      </c>
      <c r="K46" s="67" t="s">
        <v>635</v>
      </c>
      <c r="L46" s="67" t="s">
        <v>636</v>
      </c>
      <c r="M46" s="67" t="s">
        <v>637</v>
      </c>
      <c r="N46" s="67" t="s">
        <v>638</v>
      </c>
      <c r="O46" s="67" t="s">
        <v>639</v>
      </c>
      <c r="P46" s="67" t="s">
        <v>640</v>
      </c>
      <c r="Q46" s="67">
        <v>7440769</v>
      </c>
      <c r="R46" s="67">
        <v>12440023</v>
      </c>
      <c r="S46" s="67" t="s">
        <v>641</v>
      </c>
      <c r="T46" s="67">
        <v>42908</v>
      </c>
      <c r="U46" s="67">
        <v>34187</v>
      </c>
      <c r="V46" s="67">
        <v>29381</v>
      </c>
      <c r="W46" s="67">
        <v>23052</v>
      </c>
      <c r="X46" s="67">
        <v>12117</v>
      </c>
    </row>
    <row r="47" spans="1:24" x14ac:dyDescent="0.35">
      <c r="A47" s="1">
        <v>44228</v>
      </c>
      <c r="B47" s="67">
        <v>24998823</v>
      </c>
      <c r="C47" s="56">
        <v>114292</v>
      </c>
      <c r="D47" s="69">
        <v>121647</v>
      </c>
      <c r="E47" s="70">
        <f t="shared" si="0"/>
        <v>7355</v>
      </c>
      <c r="F47" s="67" t="s">
        <v>46</v>
      </c>
      <c r="G47" s="67" t="s">
        <v>41</v>
      </c>
      <c r="H47" s="67" t="s">
        <v>642</v>
      </c>
      <c r="I47" s="67" t="s">
        <v>643</v>
      </c>
      <c r="J47" s="67" t="s">
        <v>644</v>
      </c>
      <c r="K47" s="67" t="s">
        <v>645</v>
      </c>
      <c r="L47" s="67" t="s">
        <v>646</v>
      </c>
      <c r="M47" s="67" t="s">
        <v>647</v>
      </c>
      <c r="N47" s="67" t="s">
        <v>648</v>
      </c>
      <c r="O47" s="67" t="s">
        <v>649</v>
      </c>
      <c r="P47" s="67" t="s">
        <v>650</v>
      </c>
      <c r="Q47" s="67">
        <v>6539339</v>
      </c>
      <c r="R47" s="67">
        <v>9474097</v>
      </c>
      <c r="S47" s="67" t="s">
        <v>651</v>
      </c>
      <c r="T47" s="67">
        <v>19651</v>
      </c>
      <c r="U47" s="67">
        <v>15764</v>
      </c>
      <c r="V47" s="67">
        <v>13535</v>
      </c>
      <c r="W47" s="67">
        <v>10897</v>
      </c>
      <c r="X47" s="67">
        <v>6008</v>
      </c>
    </row>
    <row r="48" spans="1:24" x14ac:dyDescent="0.35">
      <c r="A48" s="1">
        <v>44228</v>
      </c>
      <c r="B48" s="67">
        <v>24998823</v>
      </c>
      <c r="C48" s="56">
        <v>17125</v>
      </c>
      <c r="D48" s="69">
        <v>21261</v>
      </c>
      <c r="E48" s="70">
        <f t="shared" si="0"/>
        <v>4136</v>
      </c>
      <c r="F48" s="67" t="s">
        <v>46</v>
      </c>
      <c r="G48" s="67" t="s">
        <v>42</v>
      </c>
      <c r="H48" s="67" t="s">
        <v>652</v>
      </c>
      <c r="I48" s="67" t="s">
        <v>653</v>
      </c>
      <c r="J48" s="67" t="s">
        <v>654</v>
      </c>
      <c r="K48" s="67" t="s">
        <v>655</v>
      </c>
      <c r="L48" s="67" t="s">
        <v>656</v>
      </c>
      <c r="M48" s="67" t="s">
        <v>657</v>
      </c>
      <c r="N48" s="67" t="s">
        <v>658</v>
      </c>
      <c r="O48" s="67" t="s">
        <v>659</v>
      </c>
      <c r="P48" s="67" t="s">
        <v>660</v>
      </c>
      <c r="Q48" s="67">
        <v>6496902</v>
      </c>
      <c r="R48" s="67">
        <v>4824117</v>
      </c>
      <c r="S48" s="67" t="s">
        <v>661</v>
      </c>
      <c r="T48" s="67">
        <v>668</v>
      </c>
      <c r="U48" s="67">
        <v>544</v>
      </c>
      <c r="V48" s="67">
        <v>453</v>
      </c>
      <c r="W48" s="67">
        <v>391</v>
      </c>
      <c r="X48" s="67">
        <v>267</v>
      </c>
    </row>
    <row r="49" spans="1:24" ht="15" thickBot="1" x14ac:dyDescent="0.4">
      <c r="A49" s="1">
        <v>44228</v>
      </c>
      <c r="B49" s="67">
        <v>24998823</v>
      </c>
      <c r="C49" s="60">
        <v>21592</v>
      </c>
      <c r="D49" s="71">
        <v>21330</v>
      </c>
      <c r="E49" s="72">
        <f t="shared" si="0"/>
        <v>-262</v>
      </c>
      <c r="F49" s="67" t="s">
        <v>46</v>
      </c>
      <c r="G49" s="67" t="s">
        <v>43</v>
      </c>
      <c r="H49" s="67" t="s">
        <v>662</v>
      </c>
      <c r="I49" s="67" t="s">
        <v>663</v>
      </c>
      <c r="J49" s="67" t="s">
        <v>664</v>
      </c>
      <c r="K49" s="67" t="s">
        <v>665</v>
      </c>
      <c r="L49" s="67" t="s">
        <v>666</v>
      </c>
      <c r="M49" s="67" t="s">
        <v>667</v>
      </c>
      <c r="N49" s="67" t="s">
        <v>668</v>
      </c>
      <c r="O49" s="67" t="s">
        <v>669</v>
      </c>
      <c r="P49" s="67" t="s">
        <v>670</v>
      </c>
      <c r="Q49" s="67">
        <v>1111825</v>
      </c>
      <c r="R49" s="67">
        <v>180195</v>
      </c>
      <c r="S49" s="67" t="s">
        <v>671</v>
      </c>
      <c r="T49" s="67">
        <v>7393</v>
      </c>
      <c r="U49" s="67">
        <v>6484</v>
      </c>
      <c r="V49" s="67">
        <v>5594</v>
      </c>
      <c r="W49" s="67">
        <v>3626</v>
      </c>
      <c r="X49" s="67">
        <v>2632</v>
      </c>
    </row>
    <row r="50" spans="1:24" x14ac:dyDescent="0.35">
      <c r="A50" s="1">
        <v>44228</v>
      </c>
      <c r="B50" s="67">
        <v>24998823</v>
      </c>
      <c r="C50" s="52">
        <v>436474</v>
      </c>
      <c r="D50" s="65">
        <v>419748</v>
      </c>
      <c r="E50" s="66">
        <f t="shared" si="0"/>
        <v>-16726</v>
      </c>
      <c r="F50" s="67" t="s">
        <v>47</v>
      </c>
      <c r="G50" s="67" t="s">
        <v>32</v>
      </c>
      <c r="H50" s="67" t="s">
        <v>672</v>
      </c>
      <c r="I50" s="67" t="s">
        <v>673</v>
      </c>
      <c r="J50" s="67" t="s">
        <v>674</v>
      </c>
      <c r="K50" s="67" t="s">
        <v>675</v>
      </c>
      <c r="L50" s="67" t="s">
        <v>676</v>
      </c>
      <c r="M50" s="67" t="s">
        <v>677</v>
      </c>
      <c r="N50" s="67" t="s">
        <v>678</v>
      </c>
      <c r="O50" s="67" t="s">
        <v>679</v>
      </c>
      <c r="P50" s="67" t="s">
        <v>680</v>
      </c>
      <c r="Q50" s="67">
        <v>780266</v>
      </c>
      <c r="R50" s="67">
        <v>4094980</v>
      </c>
      <c r="S50" s="67" t="s">
        <v>681</v>
      </c>
      <c r="T50" s="67">
        <v>317951</v>
      </c>
      <c r="U50" s="67">
        <v>275450</v>
      </c>
      <c r="V50" s="67">
        <v>234203</v>
      </c>
      <c r="W50" s="67">
        <v>126763</v>
      </c>
      <c r="X50" s="67">
        <v>65238</v>
      </c>
    </row>
    <row r="51" spans="1:24" x14ac:dyDescent="0.35">
      <c r="A51" s="1">
        <v>44228</v>
      </c>
      <c r="B51" s="67">
        <v>24998823</v>
      </c>
      <c r="C51" s="56">
        <v>211440</v>
      </c>
      <c r="D51" s="69">
        <v>202499</v>
      </c>
      <c r="E51" s="70">
        <f t="shared" si="0"/>
        <v>-8941</v>
      </c>
      <c r="F51" s="67" t="s">
        <v>47</v>
      </c>
      <c r="G51" s="67" t="s">
        <v>33</v>
      </c>
      <c r="H51" s="67" t="s">
        <v>682</v>
      </c>
      <c r="I51" s="67" t="s">
        <v>683</v>
      </c>
      <c r="J51" s="67" t="s">
        <v>684</v>
      </c>
      <c r="K51" s="67" t="s">
        <v>685</v>
      </c>
      <c r="L51" s="67" t="s">
        <v>686</v>
      </c>
      <c r="M51" s="67" t="s">
        <v>687</v>
      </c>
      <c r="N51" s="67" t="s">
        <v>688</v>
      </c>
      <c r="O51" s="67" t="s">
        <v>689</v>
      </c>
      <c r="P51" s="67" t="s">
        <v>690</v>
      </c>
      <c r="Q51" s="67">
        <v>2422867</v>
      </c>
      <c r="R51" s="67">
        <v>5768308</v>
      </c>
      <c r="S51" s="67" t="s">
        <v>691</v>
      </c>
      <c r="T51" s="67">
        <v>99263</v>
      </c>
      <c r="U51" s="67">
        <v>80644</v>
      </c>
      <c r="V51" s="67">
        <v>68496</v>
      </c>
      <c r="W51" s="67">
        <v>44328</v>
      </c>
      <c r="X51" s="67">
        <v>21114</v>
      </c>
    </row>
    <row r="52" spans="1:24" x14ac:dyDescent="0.35">
      <c r="A52" s="1">
        <v>44228</v>
      </c>
      <c r="B52" s="67">
        <v>24998823</v>
      </c>
      <c r="C52" s="56">
        <v>48523</v>
      </c>
      <c r="D52" s="69">
        <v>52398</v>
      </c>
      <c r="E52" s="70">
        <f t="shared" si="0"/>
        <v>3875</v>
      </c>
      <c r="F52" s="67" t="s">
        <v>47</v>
      </c>
      <c r="G52" s="67" t="s">
        <v>34</v>
      </c>
      <c r="H52" s="67" t="s">
        <v>692</v>
      </c>
      <c r="I52" s="67" t="s">
        <v>693</v>
      </c>
      <c r="J52" s="67" t="s">
        <v>694</v>
      </c>
      <c r="K52" s="67" t="s">
        <v>695</v>
      </c>
      <c r="L52" s="67" t="s">
        <v>696</v>
      </c>
      <c r="M52" s="67" t="s">
        <v>697</v>
      </c>
      <c r="N52" s="67" t="s">
        <v>698</v>
      </c>
      <c r="O52" s="67" t="s">
        <v>699</v>
      </c>
      <c r="P52" s="67" t="s">
        <v>700</v>
      </c>
      <c r="Q52" s="67">
        <v>3503831</v>
      </c>
      <c r="R52" s="67">
        <v>5292035</v>
      </c>
      <c r="S52" s="67" t="s">
        <v>701</v>
      </c>
      <c r="T52" s="67">
        <v>5614</v>
      </c>
      <c r="U52" s="67">
        <v>4497</v>
      </c>
      <c r="V52" s="67">
        <v>3797</v>
      </c>
      <c r="W52" s="67">
        <v>3052</v>
      </c>
      <c r="X52" s="67">
        <v>1631</v>
      </c>
    </row>
    <row r="53" spans="1:24" x14ac:dyDescent="0.35">
      <c r="A53" s="1">
        <v>44228</v>
      </c>
      <c r="B53" s="67">
        <v>24998823</v>
      </c>
      <c r="C53" s="56">
        <v>33061</v>
      </c>
      <c r="D53" s="69">
        <v>36318</v>
      </c>
      <c r="E53" s="70">
        <f t="shared" si="0"/>
        <v>3257</v>
      </c>
      <c r="F53" s="67" t="s">
        <v>47</v>
      </c>
      <c r="G53" s="67" t="s">
        <v>35</v>
      </c>
      <c r="H53" s="67" t="s">
        <v>702</v>
      </c>
      <c r="I53" s="67" t="s">
        <v>703</v>
      </c>
      <c r="J53" s="67" t="s">
        <v>704</v>
      </c>
      <c r="K53" s="67" t="s">
        <v>705</v>
      </c>
      <c r="L53" s="67" t="s">
        <v>706</v>
      </c>
      <c r="M53" s="67" t="s">
        <v>707</v>
      </c>
      <c r="N53" s="67" t="s">
        <v>708</v>
      </c>
      <c r="O53" s="67" t="s">
        <v>709</v>
      </c>
      <c r="P53" s="67" t="s">
        <v>710</v>
      </c>
      <c r="Q53" s="67">
        <v>2937082</v>
      </c>
      <c r="R53" s="67">
        <v>4042817</v>
      </c>
      <c r="S53" s="67" t="s">
        <v>711</v>
      </c>
      <c r="T53" s="67">
        <v>3297</v>
      </c>
      <c r="U53" s="67">
        <v>2615</v>
      </c>
      <c r="V53" s="67">
        <v>2250</v>
      </c>
      <c r="W53" s="67">
        <v>1839</v>
      </c>
      <c r="X53" s="67">
        <v>1042</v>
      </c>
    </row>
    <row r="54" spans="1:24" x14ac:dyDescent="0.35">
      <c r="A54" s="1">
        <v>44228</v>
      </c>
      <c r="B54" s="67">
        <v>24998823</v>
      </c>
      <c r="C54" s="56">
        <v>40414</v>
      </c>
      <c r="D54" s="69">
        <v>45428</v>
      </c>
      <c r="E54" s="70">
        <f t="shared" si="0"/>
        <v>5014</v>
      </c>
      <c r="F54" s="67" t="s">
        <v>47</v>
      </c>
      <c r="G54" s="67" t="s">
        <v>36</v>
      </c>
      <c r="H54" s="67" t="s">
        <v>712</v>
      </c>
      <c r="I54" s="67" t="s">
        <v>713</v>
      </c>
      <c r="J54" s="67" t="s">
        <v>714</v>
      </c>
      <c r="K54" s="67" t="s">
        <v>715</v>
      </c>
      <c r="L54" s="67" t="s">
        <v>716</v>
      </c>
      <c r="M54" s="67" t="s">
        <v>717</v>
      </c>
      <c r="N54" s="67" t="s">
        <v>718</v>
      </c>
      <c r="O54" s="67" t="s">
        <v>719</v>
      </c>
      <c r="P54" s="67" t="s">
        <v>720</v>
      </c>
      <c r="Q54" s="67">
        <v>4618406</v>
      </c>
      <c r="R54" s="67">
        <v>5619055</v>
      </c>
      <c r="S54" s="67" t="s">
        <v>721</v>
      </c>
      <c r="T54" s="67">
        <v>3415</v>
      </c>
      <c r="U54" s="67">
        <v>2756</v>
      </c>
      <c r="V54" s="67">
        <v>2339</v>
      </c>
      <c r="W54" s="67">
        <v>1893</v>
      </c>
      <c r="X54" s="67">
        <v>1061</v>
      </c>
    </row>
    <row r="55" spans="1:24" x14ac:dyDescent="0.35">
      <c r="A55" s="1">
        <v>44228</v>
      </c>
      <c r="B55" s="67">
        <v>24998823</v>
      </c>
      <c r="C55" s="56">
        <v>36788</v>
      </c>
      <c r="D55" s="69">
        <v>42146</v>
      </c>
      <c r="E55" s="70">
        <f t="shared" si="0"/>
        <v>5358</v>
      </c>
      <c r="F55" s="67" t="s">
        <v>47</v>
      </c>
      <c r="G55" s="67" t="s">
        <v>37</v>
      </c>
      <c r="H55" s="67" t="s">
        <v>722</v>
      </c>
      <c r="I55" s="67" t="s">
        <v>723</v>
      </c>
      <c r="J55" s="67" t="s">
        <v>724</v>
      </c>
      <c r="K55" s="67" t="s">
        <v>725</v>
      </c>
      <c r="L55" s="67" t="s">
        <v>726</v>
      </c>
      <c r="M55" s="67" t="s">
        <v>727</v>
      </c>
      <c r="N55" s="67" t="s">
        <v>728</v>
      </c>
      <c r="O55" s="67" t="s">
        <v>729</v>
      </c>
      <c r="P55" s="67" t="s">
        <v>730</v>
      </c>
      <c r="Q55" s="67">
        <v>5826121</v>
      </c>
      <c r="R55" s="67">
        <v>6172184</v>
      </c>
      <c r="S55" s="67" t="s">
        <v>731</v>
      </c>
      <c r="T55" s="67">
        <v>2481</v>
      </c>
      <c r="U55" s="67">
        <v>2047</v>
      </c>
      <c r="V55" s="67">
        <v>1757</v>
      </c>
      <c r="W55" s="67">
        <v>1476</v>
      </c>
      <c r="X55" s="67">
        <v>864</v>
      </c>
    </row>
    <row r="56" spans="1:24" x14ac:dyDescent="0.35">
      <c r="A56" s="1">
        <v>44228</v>
      </c>
      <c r="B56" s="67">
        <v>24998823</v>
      </c>
      <c r="C56" s="56">
        <v>207440</v>
      </c>
      <c r="D56" s="69">
        <v>201811</v>
      </c>
      <c r="E56" s="70">
        <f t="shared" si="0"/>
        <v>-5629</v>
      </c>
      <c r="F56" s="67" t="s">
        <v>47</v>
      </c>
      <c r="G56" s="67" t="s">
        <v>38</v>
      </c>
      <c r="H56" s="67" t="s">
        <v>732</v>
      </c>
      <c r="I56" s="67" t="s">
        <v>733</v>
      </c>
      <c r="J56" s="67" t="s">
        <v>734</v>
      </c>
      <c r="K56" s="67" t="s">
        <v>735</v>
      </c>
      <c r="L56" s="67" t="s">
        <v>736</v>
      </c>
      <c r="M56" s="67" t="s">
        <v>737</v>
      </c>
      <c r="N56" s="67" t="s">
        <v>738</v>
      </c>
      <c r="O56" s="67" t="s">
        <v>739</v>
      </c>
      <c r="P56" s="67" t="s">
        <v>740</v>
      </c>
      <c r="Q56" s="67">
        <v>4809053</v>
      </c>
      <c r="R56" s="67">
        <v>9948342</v>
      </c>
      <c r="S56" s="67" t="s">
        <v>741</v>
      </c>
      <c r="T56" s="67">
        <v>61270</v>
      </c>
      <c r="U56" s="67">
        <v>48405</v>
      </c>
      <c r="V56" s="67">
        <v>41040</v>
      </c>
      <c r="W56" s="67">
        <v>30065</v>
      </c>
      <c r="X56" s="67">
        <v>14377</v>
      </c>
    </row>
    <row r="57" spans="1:24" x14ac:dyDescent="0.35">
      <c r="A57" s="1">
        <v>44228</v>
      </c>
      <c r="B57" s="67">
        <v>24998823</v>
      </c>
      <c r="C57" s="56">
        <v>23808</v>
      </c>
      <c r="D57" s="69">
        <v>27911</v>
      </c>
      <c r="E57" s="70">
        <f t="shared" si="0"/>
        <v>4103</v>
      </c>
      <c r="F57" s="67" t="s">
        <v>47</v>
      </c>
      <c r="G57" s="67" t="s">
        <v>39</v>
      </c>
      <c r="H57" s="67" t="s">
        <v>742</v>
      </c>
      <c r="I57" s="67" t="s">
        <v>743</v>
      </c>
      <c r="J57" s="67" t="s">
        <v>744</v>
      </c>
      <c r="K57" s="67" t="s">
        <v>745</v>
      </c>
      <c r="L57" s="67" t="s">
        <v>746</v>
      </c>
      <c r="M57" s="67" t="s">
        <v>747</v>
      </c>
      <c r="N57" s="67" t="s">
        <v>748</v>
      </c>
      <c r="O57" s="67" t="s">
        <v>749</v>
      </c>
      <c r="P57" s="67" t="s">
        <v>750</v>
      </c>
      <c r="Q57" s="67">
        <v>5459045</v>
      </c>
      <c r="R57" s="67">
        <v>4919551</v>
      </c>
      <c r="S57" s="67" t="s">
        <v>751</v>
      </c>
      <c r="T57" s="67">
        <v>1178</v>
      </c>
      <c r="U57" s="67">
        <v>990</v>
      </c>
      <c r="V57" s="67">
        <v>835</v>
      </c>
      <c r="W57" s="67">
        <v>703</v>
      </c>
      <c r="X57" s="67">
        <v>436</v>
      </c>
    </row>
    <row r="58" spans="1:24" x14ac:dyDescent="0.35">
      <c r="A58" s="1">
        <v>44228</v>
      </c>
      <c r="B58" s="67">
        <v>24998823</v>
      </c>
      <c r="C58" s="56">
        <v>122561</v>
      </c>
      <c r="D58" s="69">
        <v>124771</v>
      </c>
      <c r="E58" s="70">
        <f t="shared" si="0"/>
        <v>2210</v>
      </c>
      <c r="F58" s="67" t="s">
        <v>47</v>
      </c>
      <c r="G58" s="67" t="s">
        <v>40</v>
      </c>
      <c r="H58" s="67" t="s">
        <v>752</v>
      </c>
      <c r="I58" s="67" t="s">
        <v>753</v>
      </c>
      <c r="J58" s="67" t="s">
        <v>754</v>
      </c>
      <c r="K58" s="67" t="s">
        <v>755</v>
      </c>
      <c r="L58" s="67" t="s">
        <v>756</v>
      </c>
      <c r="M58" s="67" t="s">
        <v>757</v>
      </c>
      <c r="N58" s="67" t="s">
        <v>758</v>
      </c>
      <c r="O58" s="67" t="s">
        <v>759</v>
      </c>
      <c r="P58" s="67" t="s">
        <v>760</v>
      </c>
      <c r="Q58" s="67">
        <v>4611607</v>
      </c>
      <c r="R58" s="67">
        <v>8637487</v>
      </c>
      <c r="S58" s="67" t="s">
        <v>761</v>
      </c>
      <c r="T58" s="67">
        <v>23665</v>
      </c>
      <c r="U58" s="67">
        <v>18633</v>
      </c>
      <c r="V58" s="67">
        <v>15827</v>
      </c>
      <c r="W58" s="67">
        <v>12382</v>
      </c>
      <c r="X58" s="67">
        <v>6267</v>
      </c>
    </row>
    <row r="59" spans="1:24" x14ac:dyDescent="0.35">
      <c r="A59" s="1">
        <v>44228</v>
      </c>
      <c r="B59" s="67">
        <v>24998823</v>
      </c>
      <c r="C59" s="56">
        <v>74552</v>
      </c>
      <c r="D59" s="69">
        <v>79059</v>
      </c>
      <c r="E59" s="70">
        <f t="shared" si="0"/>
        <v>4507</v>
      </c>
      <c r="F59" s="67" t="s">
        <v>47</v>
      </c>
      <c r="G59" s="67" t="s">
        <v>41</v>
      </c>
      <c r="H59" s="67" t="s">
        <v>762</v>
      </c>
      <c r="I59" s="67" t="s">
        <v>763</v>
      </c>
      <c r="J59" s="67" t="s">
        <v>764</v>
      </c>
      <c r="K59" s="67" t="s">
        <v>765</v>
      </c>
      <c r="L59" s="67" t="s">
        <v>766</v>
      </c>
      <c r="M59" s="67" t="s">
        <v>767</v>
      </c>
      <c r="N59" s="67" t="s">
        <v>768</v>
      </c>
      <c r="O59" s="67" t="s">
        <v>769</v>
      </c>
      <c r="P59" s="67" t="s">
        <v>770</v>
      </c>
      <c r="Q59" s="67">
        <v>4021884</v>
      </c>
      <c r="R59" s="67">
        <v>6701696</v>
      </c>
      <c r="S59" s="67" t="s">
        <v>771</v>
      </c>
      <c r="T59" s="67">
        <v>10901</v>
      </c>
      <c r="U59" s="67">
        <v>8604</v>
      </c>
      <c r="V59" s="67">
        <v>7315</v>
      </c>
      <c r="W59" s="67">
        <v>5850</v>
      </c>
      <c r="X59" s="67">
        <v>3078</v>
      </c>
    </row>
    <row r="60" spans="1:24" x14ac:dyDescent="0.35">
      <c r="A60" s="1">
        <v>44228</v>
      </c>
      <c r="B60" s="67">
        <v>24998823</v>
      </c>
      <c r="C60" s="56">
        <v>13774</v>
      </c>
      <c r="D60" s="69">
        <v>16931</v>
      </c>
      <c r="E60" s="70">
        <f t="shared" si="0"/>
        <v>3157</v>
      </c>
      <c r="F60" s="67" t="s">
        <v>47</v>
      </c>
      <c r="G60" s="67" t="s">
        <v>42</v>
      </c>
      <c r="H60" s="67" t="s">
        <v>772</v>
      </c>
      <c r="I60" s="67" t="s">
        <v>773</v>
      </c>
      <c r="J60" s="67" t="s">
        <v>774</v>
      </c>
      <c r="K60" s="67" t="s">
        <v>775</v>
      </c>
      <c r="L60" s="67" t="s">
        <v>776</v>
      </c>
      <c r="M60" s="67" t="s">
        <v>777</v>
      </c>
      <c r="N60" s="67" t="s">
        <v>778</v>
      </c>
      <c r="O60" s="67" t="s">
        <v>779</v>
      </c>
      <c r="P60" s="67" t="s">
        <v>780</v>
      </c>
      <c r="Q60" s="67">
        <v>5069324</v>
      </c>
      <c r="R60" s="67">
        <v>3953184</v>
      </c>
      <c r="S60" s="67" t="s">
        <v>781</v>
      </c>
      <c r="T60" s="67">
        <v>437</v>
      </c>
      <c r="U60" s="67">
        <v>360</v>
      </c>
      <c r="V60" s="67">
        <v>303</v>
      </c>
      <c r="W60" s="67">
        <v>255</v>
      </c>
      <c r="X60" s="67">
        <v>173</v>
      </c>
    </row>
    <row r="61" spans="1:24" ht="15" thickBot="1" x14ac:dyDescent="0.4">
      <c r="A61" s="1">
        <v>44228</v>
      </c>
      <c r="B61" s="67">
        <v>24998823</v>
      </c>
      <c r="C61" s="60">
        <v>13757</v>
      </c>
      <c r="D61" s="71">
        <v>13572</v>
      </c>
      <c r="E61" s="72">
        <f t="shared" si="0"/>
        <v>-185</v>
      </c>
      <c r="F61" s="67" t="s">
        <v>47</v>
      </c>
      <c r="G61" s="67" t="s">
        <v>43</v>
      </c>
      <c r="H61" s="67" t="s">
        <v>782</v>
      </c>
      <c r="I61" s="67" t="s">
        <v>783</v>
      </c>
      <c r="J61" s="67" t="s">
        <v>784</v>
      </c>
      <c r="K61" s="67" t="s">
        <v>785</v>
      </c>
      <c r="L61" s="67" t="s">
        <v>786</v>
      </c>
      <c r="M61" s="67" t="s">
        <v>787</v>
      </c>
      <c r="N61" s="67" t="s">
        <v>788</v>
      </c>
      <c r="O61" s="67" t="s">
        <v>789</v>
      </c>
      <c r="P61" s="67" t="s">
        <v>790</v>
      </c>
      <c r="Q61" s="67">
        <v>31812</v>
      </c>
      <c r="R61" s="67">
        <v>35341</v>
      </c>
      <c r="S61" s="67" t="s">
        <v>791</v>
      </c>
      <c r="T61" s="67">
        <v>4302</v>
      </c>
      <c r="U61" s="67">
        <v>3889</v>
      </c>
      <c r="V61" s="67">
        <v>3367</v>
      </c>
      <c r="W61" s="67">
        <v>2389</v>
      </c>
      <c r="X61" s="67">
        <v>1870</v>
      </c>
    </row>
    <row r="62" spans="1:24" x14ac:dyDescent="0.35">
      <c r="A62" s="1">
        <v>44228</v>
      </c>
      <c r="B62" s="67">
        <v>24998823</v>
      </c>
      <c r="C62" s="52">
        <v>1530784</v>
      </c>
      <c r="D62" s="65">
        <v>1449104</v>
      </c>
      <c r="E62" s="66">
        <f t="shared" si="0"/>
        <v>-81680</v>
      </c>
      <c r="F62" s="67" t="s">
        <v>48</v>
      </c>
      <c r="G62" s="67" t="s">
        <v>32</v>
      </c>
      <c r="H62" s="67" t="s">
        <v>792</v>
      </c>
      <c r="I62" s="67" t="s">
        <v>793</v>
      </c>
      <c r="J62" s="67" t="s">
        <v>794</v>
      </c>
      <c r="K62" s="67" t="s">
        <v>795</v>
      </c>
      <c r="L62" s="67" t="s">
        <v>796</v>
      </c>
      <c r="M62" s="67" t="s">
        <v>797</v>
      </c>
      <c r="N62" s="67" t="s">
        <v>798</v>
      </c>
      <c r="O62" s="67" t="s">
        <v>799</v>
      </c>
      <c r="P62" s="67" t="s">
        <v>800</v>
      </c>
      <c r="Q62" s="67">
        <v>3107215</v>
      </c>
      <c r="R62" s="67">
        <v>40093700</v>
      </c>
      <c r="S62" s="67" t="s">
        <v>801</v>
      </c>
      <c r="T62" s="67">
        <v>739565</v>
      </c>
      <c r="U62" s="67">
        <v>559890</v>
      </c>
      <c r="V62" s="67">
        <v>427409</v>
      </c>
      <c r="W62" s="67">
        <v>236505</v>
      </c>
      <c r="X62" s="67">
        <v>126139</v>
      </c>
    </row>
    <row r="63" spans="1:24" x14ac:dyDescent="0.35">
      <c r="A63" s="1">
        <v>44228</v>
      </c>
      <c r="B63" s="67">
        <v>24998823</v>
      </c>
      <c r="C63" s="56">
        <v>1049441</v>
      </c>
      <c r="D63" s="69">
        <v>973653</v>
      </c>
      <c r="E63" s="70">
        <f t="shared" si="0"/>
        <v>-75788</v>
      </c>
      <c r="F63" s="67" t="s">
        <v>48</v>
      </c>
      <c r="G63" s="67" t="s">
        <v>33</v>
      </c>
      <c r="H63" s="67" t="s">
        <v>802</v>
      </c>
      <c r="I63" s="67" t="s">
        <v>803</v>
      </c>
      <c r="J63" s="67" t="s">
        <v>804</v>
      </c>
      <c r="K63" s="67" t="s">
        <v>805</v>
      </c>
      <c r="L63" s="67" t="s">
        <v>806</v>
      </c>
      <c r="M63" s="67" t="s">
        <v>807</v>
      </c>
      <c r="N63" s="67" t="s">
        <v>808</v>
      </c>
      <c r="O63" s="67" t="s">
        <v>809</v>
      </c>
      <c r="P63" s="67" t="s">
        <v>810</v>
      </c>
      <c r="Q63" s="67">
        <v>14677396</v>
      </c>
      <c r="R63" s="67">
        <v>62099861</v>
      </c>
      <c r="S63" s="67" t="s">
        <v>811</v>
      </c>
      <c r="T63" s="67">
        <v>216820</v>
      </c>
      <c r="U63" s="67">
        <v>142887</v>
      </c>
      <c r="V63" s="67">
        <v>104444</v>
      </c>
      <c r="W63" s="67">
        <v>62575</v>
      </c>
      <c r="X63" s="67">
        <v>30502</v>
      </c>
    </row>
    <row r="64" spans="1:24" x14ac:dyDescent="0.35">
      <c r="A64" s="1">
        <v>44228</v>
      </c>
      <c r="B64" s="67">
        <v>24998823</v>
      </c>
      <c r="C64" s="56">
        <v>563896</v>
      </c>
      <c r="D64" s="69">
        <v>571794</v>
      </c>
      <c r="E64" s="70">
        <f t="shared" si="0"/>
        <v>7898</v>
      </c>
      <c r="F64" s="67" t="s">
        <v>48</v>
      </c>
      <c r="G64" s="67" t="s">
        <v>34</v>
      </c>
      <c r="H64" s="67" t="s">
        <v>812</v>
      </c>
      <c r="I64" s="67" t="s">
        <v>813</v>
      </c>
      <c r="J64" s="67" t="s">
        <v>814</v>
      </c>
      <c r="K64" s="67" t="s">
        <v>815</v>
      </c>
      <c r="L64" s="67" t="s">
        <v>816</v>
      </c>
      <c r="M64" s="67" t="s">
        <v>817</v>
      </c>
      <c r="N64" s="67" t="s">
        <v>818</v>
      </c>
      <c r="O64" s="67" t="s">
        <v>819</v>
      </c>
      <c r="P64" s="67" t="s">
        <v>820</v>
      </c>
      <c r="Q64" s="67">
        <v>47837832</v>
      </c>
      <c r="R64" s="67">
        <v>92076373</v>
      </c>
      <c r="S64" s="67" t="s">
        <v>821</v>
      </c>
      <c r="T64" s="67">
        <v>18729</v>
      </c>
      <c r="U64" s="67">
        <v>12967</v>
      </c>
      <c r="V64" s="67">
        <v>9752</v>
      </c>
      <c r="W64" s="67">
        <v>6845</v>
      </c>
      <c r="X64" s="67">
        <v>3703</v>
      </c>
    </row>
    <row r="65" spans="1:24" x14ac:dyDescent="0.35">
      <c r="A65" s="1">
        <v>44228</v>
      </c>
      <c r="B65" s="67">
        <v>24998823</v>
      </c>
      <c r="C65" s="56">
        <v>444096</v>
      </c>
      <c r="D65" s="69">
        <v>456827</v>
      </c>
      <c r="E65" s="70">
        <f t="shared" si="0"/>
        <v>12731</v>
      </c>
      <c r="F65" s="67" t="s">
        <v>48</v>
      </c>
      <c r="G65" s="67" t="s">
        <v>35</v>
      </c>
      <c r="H65" s="67" t="s">
        <v>822</v>
      </c>
      <c r="I65" s="67" t="s">
        <v>823</v>
      </c>
      <c r="J65" s="67" t="s">
        <v>824</v>
      </c>
      <c r="K65" s="67" t="s">
        <v>825</v>
      </c>
      <c r="L65" s="67" t="s">
        <v>826</v>
      </c>
      <c r="M65" s="67" t="s">
        <v>827</v>
      </c>
      <c r="N65" s="67" t="s">
        <v>828</v>
      </c>
      <c r="O65" s="67" t="s">
        <v>829</v>
      </c>
      <c r="P65" s="67" t="s">
        <v>830</v>
      </c>
      <c r="Q65" s="67">
        <v>46674469</v>
      </c>
      <c r="R65" s="67">
        <v>80676905</v>
      </c>
      <c r="S65" s="67" t="s">
        <v>831</v>
      </c>
      <c r="T65" s="67">
        <v>11857</v>
      </c>
      <c r="U65" s="67">
        <v>8257</v>
      </c>
      <c r="V65" s="67">
        <v>6225</v>
      </c>
      <c r="W65" s="67">
        <v>4449</v>
      </c>
      <c r="X65" s="67">
        <v>2427</v>
      </c>
    </row>
    <row r="66" spans="1:24" x14ac:dyDescent="0.35">
      <c r="A66" s="1">
        <v>44228</v>
      </c>
      <c r="B66" s="67">
        <v>24998823</v>
      </c>
      <c r="C66" s="56">
        <v>641943</v>
      </c>
      <c r="D66" s="69">
        <v>673771</v>
      </c>
      <c r="E66" s="70">
        <f t="shared" si="0"/>
        <v>31828</v>
      </c>
      <c r="F66" s="67" t="s">
        <v>48</v>
      </c>
      <c r="G66" s="67" t="s">
        <v>36</v>
      </c>
      <c r="H66" s="67" t="s">
        <v>832</v>
      </c>
      <c r="I66" s="67" t="s">
        <v>833</v>
      </c>
      <c r="J66" s="67" t="s">
        <v>834</v>
      </c>
      <c r="K66" s="67" t="s">
        <v>835</v>
      </c>
      <c r="L66" s="67" t="s">
        <v>836</v>
      </c>
      <c r="M66" s="67" t="s">
        <v>837</v>
      </c>
      <c r="N66" s="67" t="s">
        <v>838</v>
      </c>
      <c r="O66" s="67" t="s">
        <v>839</v>
      </c>
      <c r="P66" s="67" t="s">
        <v>840</v>
      </c>
      <c r="Q66" s="67">
        <v>85508819</v>
      </c>
      <c r="R66" s="67">
        <v>130778457</v>
      </c>
      <c r="S66" s="67" t="s">
        <v>841</v>
      </c>
      <c r="T66" s="67">
        <v>13429</v>
      </c>
      <c r="U66" s="67">
        <v>9518</v>
      </c>
      <c r="V66" s="67">
        <v>7227</v>
      </c>
      <c r="W66" s="67">
        <v>5252</v>
      </c>
      <c r="X66" s="67">
        <v>2906</v>
      </c>
    </row>
    <row r="67" spans="1:24" x14ac:dyDescent="0.35">
      <c r="A67" s="1">
        <v>44228</v>
      </c>
      <c r="B67" s="67">
        <v>24998823</v>
      </c>
      <c r="C67" s="56">
        <v>741027</v>
      </c>
      <c r="D67" s="69">
        <v>798269</v>
      </c>
      <c r="E67" s="70">
        <f t="shared" ref="E67:E73" si="1">D67-C67</f>
        <v>57242</v>
      </c>
      <c r="F67" s="67" t="s">
        <v>48</v>
      </c>
      <c r="G67" s="67" t="s">
        <v>37</v>
      </c>
      <c r="H67" s="67" t="s">
        <v>842</v>
      </c>
      <c r="I67" s="67" t="s">
        <v>843</v>
      </c>
      <c r="J67" s="67" t="s">
        <v>844</v>
      </c>
      <c r="K67" s="67" t="s">
        <v>845</v>
      </c>
      <c r="L67" s="67" t="s">
        <v>846</v>
      </c>
      <c r="M67" s="67" t="s">
        <v>847</v>
      </c>
      <c r="N67" s="67" t="s">
        <v>848</v>
      </c>
      <c r="O67" s="67" t="s">
        <v>849</v>
      </c>
      <c r="P67" s="67" t="s">
        <v>850</v>
      </c>
      <c r="Q67" s="67">
        <v>138719524</v>
      </c>
      <c r="R67" s="67">
        <v>179772306</v>
      </c>
      <c r="S67" s="67" t="s">
        <v>851</v>
      </c>
      <c r="T67" s="67">
        <v>10773</v>
      </c>
      <c r="U67" s="67">
        <v>7894</v>
      </c>
      <c r="V67" s="67">
        <v>6018</v>
      </c>
      <c r="W67" s="67">
        <v>4417</v>
      </c>
      <c r="X67" s="67">
        <v>2519</v>
      </c>
    </row>
    <row r="68" spans="1:24" x14ac:dyDescent="0.35">
      <c r="A68" s="1">
        <v>44228</v>
      </c>
      <c r="B68" s="67">
        <v>24998823</v>
      </c>
      <c r="C68" s="56">
        <v>1305214</v>
      </c>
      <c r="D68" s="69">
        <v>1227622</v>
      </c>
      <c r="E68" s="70">
        <f t="shared" si="1"/>
        <v>-77592</v>
      </c>
      <c r="F68" s="67" t="s">
        <v>48</v>
      </c>
      <c r="G68" s="67" t="s">
        <v>38</v>
      </c>
      <c r="H68" s="67" t="s">
        <v>852</v>
      </c>
      <c r="I68" s="67" t="s">
        <v>853</v>
      </c>
      <c r="J68" s="67" t="s">
        <v>854</v>
      </c>
      <c r="K68" s="67" t="s">
        <v>855</v>
      </c>
      <c r="L68" s="67" t="s">
        <v>856</v>
      </c>
      <c r="M68" s="67" t="s">
        <v>857</v>
      </c>
      <c r="N68" s="67" t="s">
        <v>858</v>
      </c>
      <c r="O68" s="67" t="s">
        <v>859</v>
      </c>
      <c r="P68" s="67" t="s">
        <v>860</v>
      </c>
      <c r="Q68" s="67">
        <v>38703141</v>
      </c>
      <c r="R68" s="67">
        <v>116495738</v>
      </c>
      <c r="S68" s="67" t="s">
        <v>861</v>
      </c>
      <c r="T68" s="67">
        <v>139760</v>
      </c>
      <c r="U68" s="67">
        <v>91691</v>
      </c>
      <c r="V68" s="67">
        <v>67723</v>
      </c>
      <c r="W68" s="67">
        <v>44007</v>
      </c>
      <c r="X68" s="67">
        <v>21744</v>
      </c>
    </row>
    <row r="69" spans="1:24" x14ac:dyDescent="0.35">
      <c r="A69" s="1">
        <v>44228</v>
      </c>
      <c r="B69" s="67">
        <v>24998823</v>
      </c>
      <c r="C69" s="56">
        <v>608938</v>
      </c>
      <c r="D69" s="69">
        <v>682945</v>
      </c>
      <c r="E69" s="70">
        <f t="shared" si="1"/>
        <v>74007</v>
      </c>
      <c r="F69" s="67" t="s">
        <v>48</v>
      </c>
      <c r="G69" s="67" t="s">
        <v>39</v>
      </c>
      <c r="H69" s="67" t="s">
        <v>862</v>
      </c>
      <c r="I69" s="67" t="s">
        <v>863</v>
      </c>
      <c r="J69" s="67" t="s">
        <v>864</v>
      </c>
      <c r="K69" s="67" t="s">
        <v>865</v>
      </c>
      <c r="L69" s="67" t="s">
        <v>866</v>
      </c>
      <c r="M69" s="67" t="s">
        <v>867</v>
      </c>
      <c r="N69" s="67" t="s">
        <v>868</v>
      </c>
      <c r="O69" s="67" t="s">
        <v>869</v>
      </c>
      <c r="P69" s="67" t="s">
        <v>870</v>
      </c>
      <c r="Q69" s="67">
        <v>166856610</v>
      </c>
      <c r="R69" s="67">
        <v>184041750</v>
      </c>
      <c r="S69" s="67" t="s">
        <v>871</v>
      </c>
      <c r="T69" s="67">
        <v>5632</v>
      </c>
      <c r="U69" s="67">
        <v>4157</v>
      </c>
      <c r="V69" s="67">
        <v>3176</v>
      </c>
      <c r="W69" s="67">
        <v>2348</v>
      </c>
      <c r="X69" s="67">
        <v>1399</v>
      </c>
    </row>
    <row r="70" spans="1:24" x14ac:dyDescent="0.35">
      <c r="A70" s="1">
        <v>44228</v>
      </c>
      <c r="B70" s="67">
        <v>24998823</v>
      </c>
      <c r="C70" s="56">
        <v>967370</v>
      </c>
      <c r="D70" s="69">
        <v>936168</v>
      </c>
      <c r="E70" s="70">
        <f t="shared" si="1"/>
        <v>-31202</v>
      </c>
      <c r="F70" s="67" t="s">
        <v>48</v>
      </c>
      <c r="G70" s="67" t="s">
        <v>40</v>
      </c>
      <c r="H70" s="67" t="s">
        <v>872</v>
      </c>
      <c r="I70" s="67" t="s">
        <v>873</v>
      </c>
      <c r="J70" s="67" t="s">
        <v>874</v>
      </c>
      <c r="K70" s="67" t="s">
        <v>875</v>
      </c>
      <c r="L70" s="67" t="s">
        <v>876</v>
      </c>
      <c r="M70" s="67" t="s">
        <v>877</v>
      </c>
      <c r="N70" s="67" t="s">
        <v>878</v>
      </c>
      <c r="O70" s="67" t="s">
        <v>879</v>
      </c>
      <c r="P70" s="67" t="s">
        <v>880</v>
      </c>
      <c r="Q70" s="67">
        <v>46024514</v>
      </c>
      <c r="R70" s="67">
        <v>114691460</v>
      </c>
      <c r="S70" s="67" t="s">
        <v>881</v>
      </c>
      <c r="T70" s="67">
        <v>60790</v>
      </c>
      <c r="U70" s="67">
        <v>40386</v>
      </c>
      <c r="V70" s="67">
        <v>30264</v>
      </c>
      <c r="W70" s="67">
        <v>20833</v>
      </c>
      <c r="X70" s="67">
        <v>10544</v>
      </c>
    </row>
    <row r="71" spans="1:24" x14ac:dyDescent="0.35">
      <c r="A71" s="1">
        <v>44228</v>
      </c>
      <c r="B71" s="67">
        <v>24998823</v>
      </c>
      <c r="C71" s="56">
        <v>730990</v>
      </c>
      <c r="D71" s="69">
        <v>724431</v>
      </c>
      <c r="E71" s="70">
        <f t="shared" si="1"/>
        <v>-6559</v>
      </c>
      <c r="F71" s="67" t="s">
        <v>48</v>
      </c>
      <c r="G71" s="67" t="s">
        <v>41</v>
      </c>
      <c r="H71" s="67" t="s">
        <v>882</v>
      </c>
      <c r="I71" s="67" t="s">
        <v>883</v>
      </c>
      <c r="J71" s="67" t="s">
        <v>884</v>
      </c>
      <c r="K71" s="67" t="s">
        <v>885</v>
      </c>
      <c r="L71" s="67" t="s">
        <v>886</v>
      </c>
      <c r="M71" s="67" t="s">
        <v>887</v>
      </c>
      <c r="N71" s="67" t="s">
        <v>888</v>
      </c>
      <c r="O71" s="67" t="s">
        <v>889</v>
      </c>
      <c r="P71" s="67" t="s">
        <v>890</v>
      </c>
      <c r="Q71" s="67">
        <v>47945771</v>
      </c>
      <c r="R71" s="67">
        <v>104153657</v>
      </c>
      <c r="S71" s="67" t="s">
        <v>891</v>
      </c>
      <c r="T71" s="67">
        <v>31848</v>
      </c>
      <c r="U71" s="67">
        <v>21647</v>
      </c>
      <c r="V71" s="67">
        <v>16246</v>
      </c>
      <c r="W71" s="67">
        <v>11339</v>
      </c>
      <c r="X71" s="67">
        <v>5961</v>
      </c>
    </row>
    <row r="72" spans="1:24" x14ac:dyDescent="0.35">
      <c r="A72" s="1">
        <v>44228</v>
      </c>
      <c r="B72" s="67">
        <v>24998823</v>
      </c>
      <c r="C72" s="56">
        <v>423465</v>
      </c>
      <c r="D72" s="69">
        <v>513927</v>
      </c>
      <c r="E72" s="70">
        <f t="shared" si="1"/>
        <v>90462</v>
      </c>
      <c r="F72" s="67" t="s">
        <v>48</v>
      </c>
      <c r="G72" s="67" t="s">
        <v>42</v>
      </c>
      <c r="H72" s="67" t="s">
        <v>892</v>
      </c>
      <c r="I72" s="67" t="s">
        <v>893</v>
      </c>
      <c r="J72" s="67" t="s">
        <v>894</v>
      </c>
      <c r="K72" s="67" t="s">
        <v>895</v>
      </c>
      <c r="L72" s="67" t="s">
        <v>896</v>
      </c>
      <c r="M72" s="67" t="s">
        <v>897</v>
      </c>
      <c r="N72" s="67" t="s">
        <v>898</v>
      </c>
      <c r="O72" s="67" t="s">
        <v>899</v>
      </c>
      <c r="P72" s="67" t="s">
        <v>900</v>
      </c>
      <c r="Q72" s="67">
        <v>193562186</v>
      </c>
      <c r="R72" s="67">
        <v>179211713</v>
      </c>
      <c r="S72" s="67" t="s">
        <v>901</v>
      </c>
      <c r="T72" s="67">
        <v>2114</v>
      </c>
      <c r="U72" s="67">
        <v>1570</v>
      </c>
      <c r="V72" s="67">
        <v>1167</v>
      </c>
      <c r="W72" s="67">
        <v>871</v>
      </c>
      <c r="X72" s="67">
        <v>532</v>
      </c>
    </row>
    <row r="73" spans="1:24" ht="15" thickBot="1" x14ac:dyDescent="0.4">
      <c r="A73" s="1">
        <v>44228</v>
      </c>
      <c r="B73" s="67">
        <v>24998823</v>
      </c>
      <c r="C73" s="60">
        <v>16750</v>
      </c>
      <c r="D73" s="71">
        <v>15403</v>
      </c>
      <c r="E73" s="72">
        <f t="shared" si="1"/>
        <v>-1347</v>
      </c>
      <c r="F73" s="67" t="s">
        <v>48</v>
      </c>
      <c r="G73" s="67" t="s">
        <v>43</v>
      </c>
      <c r="H73" s="67" t="s">
        <v>902</v>
      </c>
      <c r="I73" s="67" t="s">
        <v>903</v>
      </c>
      <c r="J73" s="67" t="s">
        <v>904</v>
      </c>
      <c r="K73" s="67" t="s">
        <v>905</v>
      </c>
      <c r="L73" s="67" t="s">
        <v>906</v>
      </c>
      <c r="M73" s="67" t="s">
        <v>907</v>
      </c>
      <c r="N73" s="67" t="s">
        <v>908</v>
      </c>
      <c r="O73" s="67" t="s">
        <v>909</v>
      </c>
      <c r="P73" s="67" t="s">
        <v>910</v>
      </c>
      <c r="Q73" s="67">
        <v>132034</v>
      </c>
      <c r="R73" s="67">
        <v>355522</v>
      </c>
      <c r="S73" s="67" t="s">
        <v>911</v>
      </c>
      <c r="T73" s="67">
        <v>7480</v>
      </c>
      <c r="U73" s="67">
        <v>6256</v>
      </c>
      <c r="V73" s="67">
        <v>4837</v>
      </c>
      <c r="W73" s="67">
        <v>2812</v>
      </c>
      <c r="X73" s="67">
        <v>1781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8481-7BE7-416B-88C5-4F046D7D08C8}">
  <dimension ref="B1:V22"/>
  <sheetViews>
    <sheetView zoomScale="80" zoomScaleNormal="80" workbookViewId="0">
      <selection activeCell="R22" sqref="R22"/>
    </sheetView>
  </sheetViews>
  <sheetFormatPr defaultRowHeight="14.5" x14ac:dyDescent="0.35"/>
  <cols>
    <col min="1" max="1" width="3.90625" style="67" customWidth="1"/>
    <col min="2" max="2" width="22.36328125" style="67" bestFit="1" customWidth="1"/>
    <col min="3" max="3" width="17" style="67" bestFit="1" customWidth="1"/>
    <col min="4" max="4" width="18.7265625" style="67" bestFit="1" customWidth="1"/>
    <col min="5" max="5" width="16.54296875" style="67" hidden="1" customWidth="1"/>
    <col min="6" max="6" width="19.7265625" style="67" hidden="1" customWidth="1"/>
    <col min="7" max="7" width="12.453125" style="67" hidden="1" customWidth="1"/>
    <col min="8" max="8" width="22.36328125" style="67" hidden="1" customWidth="1"/>
    <col min="9" max="12" width="23.36328125" style="67" hidden="1" customWidth="1"/>
    <col min="13" max="13" width="11.90625" style="67" hidden="1" customWidth="1"/>
    <col min="14" max="17" width="12.90625" style="67" hidden="1" customWidth="1"/>
    <col min="18" max="18" width="16.81640625" style="67" bestFit="1" customWidth="1"/>
    <col min="19" max="16384" width="8.7265625" style="67"/>
  </cols>
  <sheetData>
    <row r="1" spans="2:22" x14ac:dyDescent="0.35">
      <c r="B1"/>
      <c r="C1"/>
    </row>
    <row r="2" spans="2:22" x14ac:dyDescent="0.35">
      <c r="B2" s="3" t="s">
        <v>12</v>
      </c>
      <c r="C2" s="67" t="s">
        <v>2385</v>
      </c>
    </row>
    <row r="3" spans="2:22" x14ac:dyDescent="0.35">
      <c r="B3" s="3" t="s">
        <v>9</v>
      </c>
      <c r="C3" s="67" t="s">
        <v>2385</v>
      </c>
      <c r="H3" s="79">
        <f>$L$7/H7</f>
        <v>0.30130498571465342</v>
      </c>
      <c r="I3" s="79">
        <f t="shared" ref="I3:L3" si="0">$L$7/I7</f>
        <v>0.34315363644358454</v>
      </c>
      <c r="J3" s="79">
        <f t="shared" si="0"/>
        <v>0.4204590352358033</v>
      </c>
      <c r="K3" s="79">
        <f t="shared" si="0"/>
        <v>0.69496556637378293</v>
      </c>
      <c r="L3" s="79">
        <f t="shared" si="0"/>
        <v>1</v>
      </c>
    </row>
    <row r="5" spans="2:22" x14ac:dyDescent="0.35">
      <c r="B5" s="3" t="s">
        <v>2352</v>
      </c>
      <c r="C5" s="67" t="s">
        <v>2357</v>
      </c>
      <c r="D5" s="67" t="s">
        <v>2386</v>
      </c>
      <c r="E5" s="67" t="s">
        <v>2388</v>
      </c>
      <c r="F5" s="67" t="s">
        <v>2389</v>
      </c>
      <c r="G5" s="67" t="s">
        <v>2387</v>
      </c>
      <c r="H5" s="67" t="s">
        <v>2374</v>
      </c>
      <c r="I5" s="67" t="s">
        <v>2375</v>
      </c>
      <c r="J5" s="67" t="s">
        <v>2376</v>
      </c>
      <c r="K5" s="67" t="s">
        <v>2377</v>
      </c>
      <c r="L5" s="67" t="s">
        <v>2378</v>
      </c>
      <c r="M5" s="67" t="s">
        <v>2412</v>
      </c>
      <c r="N5" s="67" t="s">
        <v>2413</v>
      </c>
      <c r="O5" s="67" t="s">
        <v>2414</v>
      </c>
      <c r="P5" s="67" t="s">
        <v>2415</v>
      </c>
      <c r="Q5" s="67" t="s">
        <v>2416</v>
      </c>
      <c r="R5"/>
    </row>
    <row r="6" spans="2:22" x14ac:dyDescent="0.35">
      <c r="B6" s="81" t="s">
        <v>2390</v>
      </c>
      <c r="C6" s="4">
        <v>8306794</v>
      </c>
      <c r="D6" s="4">
        <v>62337531.646598205</v>
      </c>
      <c r="E6" s="24">
        <v>0.43044038817596997</v>
      </c>
      <c r="F6" s="24">
        <v>3.5745691308485338E-2</v>
      </c>
      <c r="G6" s="23">
        <v>7.5044032206165463</v>
      </c>
      <c r="H6" s="4">
        <v>4758006</v>
      </c>
      <c r="I6" s="4">
        <v>3981016</v>
      </c>
      <c r="J6" s="4">
        <v>3304997</v>
      </c>
      <c r="K6" s="4">
        <v>1791050</v>
      </c>
      <c r="L6" s="4">
        <v>902078</v>
      </c>
      <c r="M6" s="24">
        <v>0.57278487946131806</v>
      </c>
      <c r="N6" s="24">
        <v>0.47924819129979629</v>
      </c>
      <c r="O6" s="24">
        <v>0.39786673414556806</v>
      </c>
      <c r="P6" s="24">
        <v>0.2156126659695666</v>
      </c>
      <c r="Q6" s="24">
        <v>0.10859520532229401</v>
      </c>
      <c r="R6">
        <f>Q6*G6*C6</f>
        <v>6769557.0484473323</v>
      </c>
      <c r="S6" s="97">
        <f>R6/C6</f>
        <v>0.81494220856413824</v>
      </c>
      <c r="U6" s="97"/>
    </row>
    <row r="7" spans="2:22" x14ac:dyDescent="0.35">
      <c r="B7" s="98" t="s">
        <v>43</v>
      </c>
      <c r="C7" s="4">
        <v>94968</v>
      </c>
      <c r="D7" s="4">
        <v>-661945.85779676994</v>
      </c>
      <c r="E7" s="24">
        <v>4.9210396675655509E-3</v>
      </c>
      <c r="F7" s="24">
        <v>-3.795740971887696E-4</v>
      </c>
      <c r="G7" s="23">
        <v>-6.9701989912051419</v>
      </c>
      <c r="H7" s="4">
        <v>38851</v>
      </c>
      <c r="I7" s="4">
        <v>34113</v>
      </c>
      <c r="J7" s="4">
        <v>27841</v>
      </c>
      <c r="K7" s="4">
        <v>16844</v>
      </c>
      <c r="L7" s="4">
        <v>11706</v>
      </c>
      <c r="M7" s="24">
        <v>0.40909569539213209</v>
      </c>
      <c r="N7" s="24">
        <v>0.3592052059641142</v>
      </c>
      <c r="O7" s="24">
        <v>0.29316190716873053</v>
      </c>
      <c r="P7" s="24">
        <v>0.17736500716030662</v>
      </c>
      <c r="Q7" s="24">
        <v>0.12326257265605256</v>
      </c>
      <c r="R7" s="67">
        <f t="shared" ref="R7:R22" si="1">Q7*G7*C7</f>
        <v>-81593.149391047395</v>
      </c>
      <c r="S7" s="97">
        <f t="shared" ref="S7:U22" si="2">R7/C7</f>
        <v>-0.85916465958056809</v>
      </c>
      <c r="U7" s="97">
        <v>-0.85916465958056809</v>
      </c>
      <c r="V7" s="97">
        <f>U7</f>
        <v>-0.85916465958056809</v>
      </c>
    </row>
    <row r="8" spans="2:22" x14ac:dyDescent="0.35">
      <c r="B8" s="98" t="s">
        <v>32</v>
      </c>
      <c r="C8" s="4">
        <v>5417639</v>
      </c>
      <c r="D8" s="4">
        <v>16131837.570711</v>
      </c>
      <c r="E8" s="24">
        <v>0.28073052421394751</v>
      </c>
      <c r="F8" s="24">
        <v>9.2503451902835997E-3</v>
      </c>
      <c r="G8" s="23">
        <v>2.9776508864306019</v>
      </c>
      <c r="H8" s="4">
        <v>3640978</v>
      </c>
      <c r="I8" s="4">
        <v>3093906</v>
      </c>
      <c r="J8" s="4">
        <v>2561278</v>
      </c>
      <c r="K8" s="4">
        <v>1334220</v>
      </c>
      <c r="L8" s="4">
        <v>678703</v>
      </c>
      <c r="M8" s="24">
        <v>0.67205991392191322</v>
      </c>
      <c r="N8" s="24">
        <v>0.5710801328770706</v>
      </c>
      <c r="O8" s="24">
        <v>0.47276645786107196</v>
      </c>
      <c r="P8" s="24">
        <v>0.2462733305043027</v>
      </c>
      <c r="Q8" s="24">
        <v>0.12527652728430225</v>
      </c>
      <c r="R8" s="67">
        <f t="shared" si="1"/>
        <v>2020940.5895731086</v>
      </c>
      <c r="S8" s="97">
        <f t="shared" si="2"/>
        <v>0.37302976251705006</v>
      </c>
      <c r="U8" s="97">
        <v>0.37302976251705006</v>
      </c>
      <c r="V8" s="97">
        <f>U8+V7</f>
        <v>-0.48613489706351803</v>
      </c>
    </row>
    <row r="9" spans="2:22" ht="15" thickBot="1" x14ac:dyDescent="0.4">
      <c r="B9" s="98" t="s">
        <v>33</v>
      </c>
      <c r="C9" s="4">
        <v>2794187</v>
      </c>
      <c r="D9" s="4">
        <v>46867639.933683977</v>
      </c>
      <c r="E9" s="24">
        <v>0.14478882429445691</v>
      </c>
      <c r="F9" s="24">
        <v>2.6874920215390508E-2</v>
      </c>
      <c r="G9" s="23">
        <v>16.773265330374802</v>
      </c>
      <c r="H9" s="4">
        <v>1078177</v>
      </c>
      <c r="I9" s="4">
        <v>852997</v>
      </c>
      <c r="J9" s="4">
        <v>715878</v>
      </c>
      <c r="K9" s="4">
        <v>439986</v>
      </c>
      <c r="L9" s="4">
        <v>211669</v>
      </c>
      <c r="M9" s="24">
        <v>0.38586429612620771</v>
      </c>
      <c r="N9" s="24">
        <v>0.30527555958137376</v>
      </c>
      <c r="O9" s="24">
        <v>0.25620260920260529</v>
      </c>
      <c r="P9" s="24">
        <v>0.15746476524298481</v>
      </c>
      <c r="Q9" s="24">
        <v>7.5753340774973185E-2</v>
      </c>
      <c r="R9" s="67">
        <f t="shared" si="1"/>
        <v>3550380.299215104</v>
      </c>
      <c r="S9" s="97">
        <f t="shared" si="2"/>
        <v>1.2706308844809255</v>
      </c>
      <c r="U9" s="97">
        <v>1.2706308844809255</v>
      </c>
      <c r="V9" s="97">
        <f t="shared" ref="V9:V18" si="3">U9+V8</f>
        <v>0.78449598741740756</v>
      </c>
    </row>
    <row r="10" spans="2:22" ht="15" thickBot="1" x14ac:dyDescent="0.4">
      <c r="B10" s="81" t="s">
        <v>2391</v>
      </c>
      <c r="C10" s="4">
        <v>6964096</v>
      </c>
      <c r="D10" s="4">
        <v>436362605.19357997</v>
      </c>
      <c r="E10" s="24">
        <v>0.3608646350848137</v>
      </c>
      <c r="F10" s="24">
        <v>0.25021977245175964</v>
      </c>
      <c r="G10" s="23">
        <v>62.658901484640637</v>
      </c>
      <c r="H10" s="4">
        <v>1074148</v>
      </c>
      <c r="I10" s="4">
        <v>825785</v>
      </c>
      <c r="J10" s="4">
        <v>688754</v>
      </c>
      <c r="K10" s="4">
        <v>501200</v>
      </c>
      <c r="L10" s="4">
        <v>252636</v>
      </c>
      <c r="M10" s="24">
        <v>0.1542408375760472</v>
      </c>
      <c r="N10" s="38">
        <v>0.11857748658260886</v>
      </c>
      <c r="O10" s="24">
        <v>9.8900704413035084E-2</v>
      </c>
      <c r="P10" s="24">
        <v>7.1969140000367596E-2</v>
      </c>
      <c r="Q10" s="24">
        <v>3.6276926682228393E-2</v>
      </c>
      <c r="R10" s="105">
        <f t="shared" si="1"/>
        <v>15829894.235473674</v>
      </c>
      <c r="S10" s="97">
        <f t="shared" si="2"/>
        <v>2.2730723751472803</v>
      </c>
      <c r="U10" s="97">
        <v>1.7874052189614504</v>
      </c>
      <c r="V10" s="97">
        <f t="shared" si="3"/>
        <v>2.571901206378858</v>
      </c>
    </row>
    <row r="11" spans="2:22" x14ac:dyDescent="0.35">
      <c r="B11" s="98" t="s">
        <v>38</v>
      </c>
      <c r="C11" s="4">
        <v>2872645</v>
      </c>
      <c r="D11" s="4">
        <v>104849636.57660869</v>
      </c>
      <c r="E11" s="24">
        <v>0.1488543508953947</v>
      </c>
      <c r="F11" s="24">
        <v>6.0123053381739948E-2</v>
      </c>
      <c r="G11" s="23">
        <v>36.499336526653551</v>
      </c>
      <c r="H11" s="4">
        <v>635035</v>
      </c>
      <c r="I11" s="4">
        <v>488684</v>
      </c>
      <c r="J11" s="4">
        <v>407531</v>
      </c>
      <c r="K11" s="4">
        <v>287408</v>
      </c>
      <c r="L11" s="4">
        <v>140676</v>
      </c>
      <c r="M11" s="24">
        <v>0.22106281841299569</v>
      </c>
      <c r="N11" s="24">
        <v>0.17011639099157744</v>
      </c>
      <c r="O11" s="24">
        <v>0.14186611989995282</v>
      </c>
      <c r="P11" s="24">
        <v>0.10004995396228911</v>
      </c>
      <c r="Q11" s="24">
        <v>4.8970896160159018E-2</v>
      </c>
      <c r="R11" s="106">
        <f t="shared" si="1"/>
        <v>5134580.6652235156</v>
      </c>
      <c r="S11" s="97">
        <f t="shared" si="2"/>
        <v>1.7874052189614504</v>
      </c>
      <c r="U11" s="97">
        <v>2.0380271190804242</v>
      </c>
      <c r="V11" s="97">
        <f t="shared" si="3"/>
        <v>4.6099283254592827</v>
      </c>
    </row>
    <row r="12" spans="2:22" x14ac:dyDescent="0.35">
      <c r="B12" s="98" t="s">
        <v>40</v>
      </c>
      <c r="C12" s="4">
        <v>1869758</v>
      </c>
      <c r="D12" s="4">
        <v>115331227.53217034</v>
      </c>
      <c r="E12" s="24">
        <v>9.6886880704532372E-2</v>
      </c>
      <c r="F12" s="24">
        <v>6.6133424739454189E-2</v>
      </c>
      <c r="G12" s="23">
        <v>61.682435658609478</v>
      </c>
      <c r="H12" s="4">
        <v>251572</v>
      </c>
      <c r="I12" s="4">
        <v>192488</v>
      </c>
      <c r="J12" s="4">
        <v>160710</v>
      </c>
      <c r="K12" s="4">
        <v>120794</v>
      </c>
      <c r="L12" s="4">
        <v>61778</v>
      </c>
      <c r="M12" s="24">
        <v>0.13454789336374012</v>
      </c>
      <c r="N12" s="24">
        <v>0.1029480820512601</v>
      </c>
      <c r="O12" s="24">
        <v>8.5952299709374153E-2</v>
      </c>
      <c r="P12" s="24">
        <v>6.46040824534512E-2</v>
      </c>
      <c r="Q12" s="24">
        <v>3.3040639483826247E-2</v>
      </c>
      <c r="R12" s="107">
        <f t="shared" si="1"/>
        <v>3810617.510117576</v>
      </c>
      <c r="S12" s="97">
        <f t="shared" si="2"/>
        <v>2.0380271190804242</v>
      </c>
      <c r="U12" s="97">
        <v>2.1540722911013455</v>
      </c>
      <c r="V12" s="97">
        <f t="shared" si="3"/>
        <v>6.7640006165606277</v>
      </c>
    </row>
    <row r="13" spans="2:22" x14ac:dyDescent="0.35">
      <c r="B13" s="98" t="s">
        <v>41</v>
      </c>
      <c r="C13" s="4">
        <v>1290283</v>
      </c>
      <c r="D13" s="4">
        <v>111997646.67338757</v>
      </c>
      <c r="E13" s="24">
        <v>6.6859719330569056E-2</v>
      </c>
      <c r="F13" s="24">
        <v>6.4221877246597572E-2</v>
      </c>
      <c r="G13" s="23">
        <v>86.800838787605173</v>
      </c>
      <c r="H13" s="4">
        <v>121543</v>
      </c>
      <c r="I13" s="4">
        <v>93576</v>
      </c>
      <c r="J13" s="4">
        <v>78038</v>
      </c>
      <c r="K13" s="4">
        <v>59994</v>
      </c>
      <c r="L13" s="4">
        <v>32020</v>
      </c>
      <c r="M13" s="24">
        <v>9.419871454556869E-2</v>
      </c>
      <c r="N13" s="24">
        <v>7.2523624662186509E-2</v>
      </c>
      <c r="O13" s="24">
        <v>6.0481305264038977E-2</v>
      </c>
      <c r="P13" s="24">
        <v>4.6496776288612651E-2</v>
      </c>
      <c r="Q13" s="24">
        <v>2.4816261238813499E-2</v>
      </c>
      <c r="R13" s="107">
        <f t="shared" si="1"/>
        <v>2779362.8579791174</v>
      </c>
      <c r="S13" s="97">
        <f t="shared" si="2"/>
        <v>2.1540722911013455</v>
      </c>
      <c r="U13" s="97">
        <v>2.1811387811430833</v>
      </c>
      <c r="V13" s="97">
        <f t="shared" si="3"/>
        <v>8.945139397703711</v>
      </c>
    </row>
    <row r="14" spans="2:22" ht="15" thickBot="1" x14ac:dyDescent="0.4">
      <c r="B14" s="98" t="s">
        <v>34</v>
      </c>
      <c r="C14" s="4">
        <v>931410</v>
      </c>
      <c r="D14" s="4">
        <v>104184094.41141336</v>
      </c>
      <c r="E14" s="24">
        <v>4.826368415431756E-2</v>
      </c>
      <c r="F14" s="24">
        <v>5.9741417083967935E-2</v>
      </c>
      <c r="G14" s="23">
        <v>111.85631935604445</v>
      </c>
      <c r="H14" s="4">
        <v>65998</v>
      </c>
      <c r="I14" s="4">
        <v>51037</v>
      </c>
      <c r="J14" s="4">
        <v>42475</v>
      </c>
      <c r="K14" s="4">
        <v>33004</v>
      </c>
      <c r="L14" s="4">
        <v>18162</v>
      </c>
      <c r="M14" s="24">
        <v>7.0858161282356863E-2</v>
      </c>
      <c r="N14" s="24">
        <v>5.4795417700046166E-2</v>
      </c>
      <c r="O14" s="24">
        <v>4.5602903125369063E-2</v>
      </c>
      <c r="P14" s="24">
        <v>3.5434448846372701E-2</v>
      </c>
      <c r="Q14" s="24">
        <v>1.9499468547685767E-2</v>
      </c>
      <c r="R14" s="108">
        <f t="shared" si="1"/>
        <v>2031534.4721444792</v>
      </c>
      <c r="S14" s="97">
        <f t="shared" si="2"/>
        <v>2.1811387811430833</v>
      </c>
      <c r="U14" s="97">
        <v>2.218490849669621</v>
      </c>
      <c r="V14" s="97">
        <f t="shared" si="3"/>
        <v>11.163630247373332</v>
      </c>
    </row>
    <row r="15" spans="2:22" x14ac:dyDescent="0.35">
      <c r="B15" s="81" t="s">
        <v>2392</v>
      </c>
      <c r="C15" s="4">
        <v>2691058</v>
      </c>
      <c r="D15" s="4">
        <v>513460754.42035222</v>
      </c>
      <c r="E15" s="24">
        <v>0.13944489897354495</v>
      </c>
      <c r="F15" s="24">
        <v>0.29442952169784053</v>
      </c>
      <c r="G15" s="23">
        <v>190.80255959565056</v>
      </c>
      <c r="H15" s="4">
        <v>114503</v>
      </c>
      <c r="I15" s="4">
        <v>89671</v>
      </c>
      <c r="J15" s="4">
        <v>74547</v>
      </c>
      <c r="K15" s="4">
        <v>58797</v>
      </c>
      <c r="L15" s="4">
        <v>33426</v>
      </c>
      <c r="M15" s="24">
        <v>4.2549435946754026E-2</v>
      </c>
      <c r="N15" s="24">
        <v>3.3321838473938506E-2</v>
      </c>
      <c r="O15" s="24">
        <v>2.7701744072405724E-2</v>
      </c>
      <c r="P15" s="24">
        <v>2.1849027408550839E-2</v>
      </c>
      <c r="Q15" s="24">
        <v>1.2421136965461169E-2</v>
      </c>
      <c r="R15" s="67">
        <f t="shared" si="1"/>
        <v>6377766.3570442162</v>
      </c>
      <c r="S15" s="97">
        <f t="shared" si="2"/>
        <v>2.369984726098143</v>
      </c>
      <c r="U15" s="97">
        <v>2.2578918448350489</v>
      </c>
      <c r="V15" s="97">
        <f t="shared" si="3"/>
        <v>13.421522092208381</v>
      </c>
    </row>
    <row r="16" spans="2:22" x14ac:dyDescent="0.35">
      <c r="B16" s="98" t="s">
        <v>35</v>
      </c>
      <c r="C16" s="4">
        <v>698320</v>
      </c>
      <c r="D16" s="4">
        <v>95603471.838835761</v>
      </c>
      <c r="E16" s="24">
        <v>3.6185456371139499E-2</v>
      </c>
      <c r="F16" s="24">
        <v>5.4821102185187084E-2</v>
      </c>
      <c r="G16" s="23">
        <v>136.90496024578383</v>
      </c>
      <c r="H16" s="4">
        <v>39886</v>
      </c>
      <c r="I16" s="4">
        <v>31077</v>
      </c>
      <c r="J16" s="4">
        <v>25819</v>
      </c>
      <c r="K16" s="4">
        <v>20239</v>
      </c>
      <c r="L16" s="4">
        <v>11316</v>
      </c>
      <c r="M16" s="24">
        <v>5.7117080994386525E-2</v>
      </c>
      <c r="N16" s="24">
        <v>4.4502520334517126E-2</v>
      </c>
      <c r="O16" s="24">
        <v>3.6973020964600756E-2</v>
      </c>
      <c r="P16" s="24">
        <v>2.8982414938710049E-2</v>
      </c>
      <c r="Q16" s="24">
        <v>1.6204605338526749E-2</v>
      </c>
      <c r="R16" s="67">
        <f t="shared" si="1"/>
        <v>1549216.5301412898</v>
      </c>
      <c r="S16" s="97">
        <f t="shared" si="2"/>
        <v>2.218490849669621</v>
      </c>
      <c r="U16" s="97">
        <v>2.262395684374348</v>
      </c>
      <c r="V16" s="97">
        <f t="shared" si="3"/>
        <v>15.683917776582728</v>
      </c>
    </row>
    <row r="17" spans="2:22" x14ac:dyDescent="0.35">
      <c r="B17" s="98" t="s">
        <v>36</v>
      </c>
      <c r="C17" s="4">
        <v>957313</v>
      </c>
      <c r="D17" s="4">
        <v>165618766.74931392</v>
      </c>
      <c r="E17" s="24">
        <v>4.9605922492588876E-2</v>
      </c>
      <c r="F17" s="24">
        <v>9.4969389302665422E-2</v>
      </c>
      <c r="G17" s="23">
        <v>173.00377906631783</v>
      </c>
      <c r="H17" s="4">
        <v>42890</v>
      </c>
      <c r="I17" s="4">
        <v>33490</v>
      </c>
      <c r="J17" s="4">
        <v>27854</v>
      </c>
      <c r="K17" s="4">
        <v>21912</v>
      </c>
      <c r="L17" s="4">
        <v>12494</v>
      </c>
      <c r="M17" s="24">
        <v>4.4802483618210556E-2</v>
      </c>
      <c r="N17" s="24">
        <v>3.498333355966126E-2</v>
      </c>
      <c r="O17" s="24">
        <v>2.9096021886258726E-2</v>
      </c>
      <c r="P17" s="24">
        <v>2.2889065540737458E-2</v>
      </c>
      <c r="Q17" s="24">
        <v>1.3051112854416477E-2</v>
      </c>
      <c r="R17" s="67">
        <f t="shared" si="1"/>
        <v>2161509.2156545753</v>
      </c>
      <c r="S17" s="97">
        <f t="shared" si="2"/>
        <v>2.2578918448350489</v>
      </c>
      <c r="U17" s="97">
        <v>2.3797694939070153</v>
      </c>
      <c r="V17" s="97">
        <f t="shared" si="3"/>
        <v>18.063687270489744</v>
      </c>
    </row>
    <row r="18" spans="2:22" x14ac:dyDescent="0.35">
      <c r="B18" s="98" t="s">
        <v>37</v>
      </c>
      <c r="C18" s="4">
        <v>1035425</v>
      </c>
      <c r="D18" s="4">
        <v>252238515.83220255</v>
      </c>
      <c r="E18" s="24">
        <v>5.3653520109816583E-2</v>
      </c>
      <c r="F18" s="24">
        <v>0.14463903020998803</v>
      </c>
      <c r="G18" s="23">
        <v>243.60867839988657</v>
      </c>
      <c r="H18" s="4">
        <v>31727</v>
      </c>
      <c r="I18" s="4">
        <v>25104</v>
      </c>
      <c r="J18" s="4">
        <v>20874</v>
      </c>
      <c r="K18" s="4">
        <v>16646</v>
      </c>
      <c r="L18" s="4">
        <v>9616</v>
      </c>
      <c r="M18" s="24">
        <v>3.0641524011879182E-2</v>
      </c>
      <c r="N18" s="24">
        <v>2.4245116739503102E-2</v>
      </c>
      <c r="O18" s="24">
        <v>2.0159837747784726E-2</v>
      </c>
      <c r="P18" s="24">
        <v>1.6076490330057706E-2</v>
      </c>
      <c r="Q18" s="24">
        <v>9.2870077504406401E-3</v>
      </c>
      <c r="R18" s="67">
        <f t="shared" si="1"/>
        <v>2342541.0514933094</v>
      </c>
      <c r="S18" s="97">
        <f t="shared" si="2"/>
        <v>2.262395684374348</v>
      </c>
      <c r="U18" s="97">
        <v>2.8940129163722599</v>
      </c>
      <c r="V18" s="97">
        <f t="shared" si="3"/>
        <v>20.957700186862006</v>
      </c>
    </row>
    <row r="19" spans="2:22" x14ac:dyDescent="0.35">
      <c r="B19" s="81" t="s">
        <v>2393</v>
      </c>
      <c r="C19" s="4">
        <v>1336413</v>
      </c>
      <c r="D19" s="4">
        <v>731756469.53759408</v>
      </c>
      <c r="E19" s="24">
        <v>6.9250077765671395E-2</v>
      </c>
      <c r="F19" s="24">
        <v>0.4196050145419144</v>
      </c>
      <c r="G19" s="23">
        <v>547.55264243732597</v>
      </c>
      <c r="H19" s="4">
        <v>21079</v>
      </c>
      <c r="I19" s="4">
        <v>16859</v>
      </c>
      <c r="J19" s="4">
        <v>13907</v>
      </c>
      <c r="K19" s="4">
        <v>11253</v>
      </c>
      <c r="L19" s="4">
        <v>6949</v>
      </c>
      <c r="M19" s="24">
        <v>1.5772818731933917E-2</v>
      </c>
      <c r="N19" s="24">
        <v>1.2615112244493281E-2</v>
      </c>
      <c r="O19" s="24">
        <v>1.0406214246643815E-2</v>
      </c>
      <c r="P19" s="24">
        <v>8.4203012092818608E-3</v>
      </c>
      <c r="Q19" s="24">
        <v>5.1997399007642098E-3</v>
      </c>
      <c r="R19" s="67">
        <f t="shared" si="1"/>
        <v>3804943.3122969782</v>
      </c>
      <c r="S19" s="97">
        <f t="shared" si="2"/>
        <v>2.8471313226502422</v>
      </c>
    </row>
    <row r="20" spans="2:22" x14ac:dyDescent="0.35">
      <c r="B20" s="98" t="s">
        <v>39</v>
      </c>
      <c r="C20" s="4">
        <v>802036</v>
      </c>
      <c r="D20" s="4">
        <v>305551831.94666767</v>
      </c>
      <c r="E20" s="24">
        <v>4.1559798782912188E-2</v>
      </c>
      <c r="F20" s="24">
        <v>0.17521004080539013</v>
      </c>
      <c r="G20" s="23">
        <v>380.97022072159814</v>
      </c>
      <c r="H20" s="4">
        <v>15366</v>
      </c>
      <c r="I20" s="4">
        <v>12308</v>
      </c>
      <c r="J20" s="4">
        <v>10197</v>
      </c>
      <c r="K20" s="4">
        <v>8240</v>
      </c>
      <c r="L20" s="4">
        <v>5010</v>
      </c>
      <c r="M20" s="24">
        <v>1.9158741004144452E-2</v>
      </c>
      <c r="N20" s="24">
        <v>1.5345944571066635E-2</v>
      </c>
      <c r="O20" s="24">
        <v>1.2713893141953727E-2</v>
      </c>
      <c r="P20" s="24">
        <v>1.0273853044003012E-2</v>
      </c>
      <c r="Q20" s="24">
        <v>6.2466023968998901E-3</v>
      </c>
      <c r="R20" s="67">
        <f t="shared" si="1"/>
        <v>1908660.8058152068</v>
      </c>
      <c r="S20" s="97">
        <f t="shared" si="2"/>
        <v>2.3797694939070153</v>
      </c>
    </row>
    <row r="21" spans="2:22" x14ac:dyDescent="0.35">
      <c r="B21" s="98" t="s">
        <v>42</v>
      </c>
      <c r="C21" s="4">
        <v>534377</v>
      </c>
      <c r="D21" s="4">
        <v>426204637.59092641</v>
      </c>
      <c r="E21" s="24">
        <v>2.769027898275921E-2</v>
      </c>
      <c r="F21" s="24">
        <v>0.2443949737365243</v>
      </c>
      <c r="G21" s="23">
        <v>797.57294492638425</v>
      </c>
      <c r="H21" s="4">
        <v>5713</v>
      </c>
      <c r="I21" s="4">
        <v>4551</v>
      </c>
      <c r="J21" s="4">
        <v>3710</v>
      </c>
      <c r="K21" s="4">
        <v>3013</v>
      </c>
      <c r="L21" s="4">
        <v>1939</v>
      </c>
      <c r="M21" s="24">
        <v>1.0690954139119012E-2</v>
      </c>
      <c r="N21" s="24">
        <v>8.5164593536024187E-3</v>
      </c>
      <c r="O21" s="24">
        <v>6.9426640742397223E-3</v>
      </c>
      <c r="P21" s="24">
        <v>5.638341470534847E-3</v>
      </c>
      <c r="Q21" s="24">
        <v>3.6285244312535907E-3</v>
      </c>
      <c r="R21" s="67">
        <f t="shared" si="1"/>
        <v>1546493.9402122591</v>
      </c>
      <c r="S21" s="97">
        <f t="shared" si="2"/>
        <v>2.8940129163722599</v>
      </c>
    </row>
    <row r="22" spans="2:22" x14ac:dyDescent="0.35">
      <c r="B22" s="81" t="s">
        <v>2353</v>
      </c>
      <c r="C22" s="4">
        <v>19298361</v>
      </c>
      <c r="D22" s="4">
        <v>1743917360.7981246</v>
      </c>
      <c r="E22" s="24">
        <v>1</v>
      </c>
      <c r="F22" s="24">
        <v>1</v>
      </c>
      <c r="G22" s="23">
        <v>90.366086570674284</v>
      </c>
      <c r="H22" s="4">
        <v>5967736</v>
      </c>
      <c r="I22" s="4">
        <v>4913331</v>
      </c>
      <c r="J22" s="4">
        <v>4082205</v>
      </c>
      <c r="K22" s="4">
        <v>2362300</v>
      </c>
      <c r="L22" s="4">
        <v>1195089</v>
      </c>
      <c r="M22" s="24">
        <v>0.30923538014445889</v>
      </c>
      <c r="N22" s="24">
        <v>0.25459835682418835</v>
      </c>
      <c r="O22" s="24">
        <v>0.21153117614495864</v>
      </c>
      <c r="P22" s="24">
        <v>0.12240935901240525</v>
      </c>
      <c r="Q22" s="24">
        <v>6.1926968823932768E-2</v>
      </c>
      <c r="R22" s="67">
        <f t="shared" si="1"/>
        <v>107995516.03366056</v>
      </c>
      <c r="S22" s="97">
        <f t="shared" si="2"/>
        <v>5.5960978258029561</v>
      </c>
      <c r="U22" s="97"/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Feb_0_activation_date</vt:lpstr>
      <vt:lpstr>Funnel</vt:lpstr>
      <vt:lpstr>NEW</vt:lpstr>
      <vt:lpstr>February</vt:lpstr>
      <vt:lpstr>March</vt:lpstr>
      <vt:lpstr>April</vt:lpstr>
      <vt:lpstr>Compiled</vt:lpstr>
      <vt:lpstr>pivot</vt:lpstr>
      <vt:lpstr>Static_Base</vt:lpstr>
      <vt:lpstr>Segments</vt:lpstr>
      <vt:lpstr>Segments (2)</vt:lpstr>
      <vt:lpstr>ARPU_Segments</vt:lpstr>
      <vt:lpstr>Value_Loss</vt:lpstr>
      <vt:lpstr>Sheet8</vt:lpstr>
      <vt:lpstr>Value_Loss_Med</vt:lpstr>
      <vt:lpstr>Sheet6</vt:lpstr>
      <vt:lpstr>Sheet2</vt:lpstr>
      <vt:lpstr>February_Compare</vt:lpstr>
      <vt:lpstr>Value_Loss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 Masingi</dc:creator>
  <cp:lastModifiedBy>K, Naveen</cp:lastModifiedBy>
  <dcterms:created xsi:type="dcterms:W3CDTF">2021-06-09T09:17:30Z</dcterms:created>
  <dcterms:modified xsi:type="dcterms:W3CDTF">2021-07-20T09:18:30Z</dcterms:modified>
</cp:coreProperties>
</file>